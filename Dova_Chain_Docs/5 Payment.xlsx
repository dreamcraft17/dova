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OneDrive\Desktop\Dova Chain Docs\"/>
    </mc:Choice>
  </mc:AlternateContent>
  <xr:revisionPtr revIDLastSave="0" documentId="8_{92248002-A037-4338-AD39-7F7DA9D3D896}" xr6:coauthVersionLast="47" xr6:coauthVersionMax="47" xr10:uidLastSave="{00000000-0000-0000-0000-000000000000}"/>
  <bookViews>
    <workbookView xWindow="-110" yWindow="-110" windowWidth="19420" windowHeight="10300" firstSheet="2" activeTab="5" xr2:uid="{00000000-000D-0000-FFFF-FFFF00000000}"/>
  </bookViews>
  <sheets>
    <sheet name="AUTH UAT Report" sheetId="1" r:id="rId1"/>
    <sheet name="Catalog and Search" sheetId="2" r:id="rId2"/>
    <sheet name="Cart and delivery slot" sheetId="3" r:id="rId3"/>
    <sheet name="Bug report" sheetId="11" r:id="rId4"/>
    <sheet name="Checkout and minimum order" sheetId="4" r:id="rId5"/>
    <sheet name="Payment" sheetId="13" r:id="rId6"/>
    <sheet name="Supplier" sheetId="12" r:id="rId7"/>
    <sheet name="Admin" sheetId="8" r:id="rId8"/>
    <sheet name="Public pages and feedlog" sheetId="9" r:id="rId9"/>
    <sheet name="staging Go live (ops)" sheetId="10" r:id="rId10"/>
  </sheets>
  <definedNames>
    <definedName name="_xlnm.Print_Area" localSheetId="0">'AUTH UAT Report'!$A$1:$E$29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13" l="1"/>
  <c r="J4" i="13"/>
  <c r="J3" i="13"/>
  <c r="J2" i="13"/>
  <c r="J4" i="12"/>
  <c r="J3" i="12"/>
  <c r="J2" i="12"/>
</calcChain>
</file>

<file path=xl/sharedStrings.xml><?xml version="1.0" encoding="utf-8"?>
<sst xmlns="http://schemas.openxmlformats.org/spreadsheetml/2006/main" count="540" uniqueCount="378">
  <si>
    <t>Project</t>
  </si>
  <si>
    <t>DOVA Agricultural Marketplace</t>
  </si>
  <si>
    <t>Module</t>
  </si>
  <si>
    <t>Authentication (AUTH-01 to AUTH-09)</t>
  </si>
  <si>
    <t>Environment</t>
  </si>
  <si>
    <t>Staging (https://dova.dntech.id)</t>
  </si>
  <si>
    <t>Tester</t>
  </si>
  <si>
    <t>Keresia Karuma</t>
  </si>
  <si>
    <t>Execution Date</t>
  </si>
  <si>
    <t>07 August 2026</t>
  </si>
  <si>
    <t>Summary</t>
  </si>
  <si>
    <t>Metric</t>
  </si>
  <si>
    <t>Result</t>
  </si>
  <si>
    <t>Total Test Cases Executed</t>
  </si>
  <si>
    <t>Passed</t>
  </si>
  <si>
    <t>Failed</t>
  </si>
  <si>
    <t>Blocked</t>
  </si>
  <si>
    <t>Pass Rate</t>
  </si>
  <si>
    <t>100%</t>
  </si>
  <si>
    <t>Detailed Results</t>
  </si>
  <si>
    <t>Test ID</t>
  </si>
  <si>
    <t>Scenario</t>
  </si>
  <si>
    <t>Expected Result</t>
  </si>
  <si>
    <t>Actual Result</t>
  </si>
  <si>
    <t>Status</t>
  </si>
  <si>
    <t>AUTH-01</t>
  </si>
  <si>
    <t>Customer Registration</t>
  </si>
  <si>
    <t>Customer registers successfully</t>
  </si>
  <si>
    <t>Registration completed and redirected to customer dashboard.</t>
  </si>
  <si>
    <t>PASS</t>
  </si>
  <si>
    <t>AUTH-02</t>
  </si>
  <si>
    <t>Registration Validation</t>
  </si>
  <si>
    <t>Validation messages displayed</t>
  </si>
  <si>
    <t>Validation messages displayed for invalid inputs.</t>
  </si>
  <si>
    <t>AUTH-03</t>
  </si>
  <si>
    <t>Duplicate Email</t>
  </si>
  <si>
    <t>Duplicate email rejected</t>
  </si>
  <si>
    <t>System prevented duplicate registration.</t>
  </si>
  <si>
    <t>AUTH-04</t>
  </si>
  <si>
    <t>Customer Login</t>
  </si>
  <si>
    <t>Successful login</t>
  </si>
  <si>
    <t>Logged in successfully with valid credentials.</t>
  </si>
  <si>
    <t>AUTH-05</t>
  </si>
  <si>
    <t>Invalid Login</t>
  </si>
  <si>
    <t>Reject invalid credentials</t>
  </si>
  <si>
    <t>Invalid credentials rejected with error message.</t>
  </si>
  <si>
    <t>AUTH-06</t>
  </si>
  <si>
    <t>Logout</t>
  </si>
  <si>
    <t>Cookies/session cleared; protected routes blocked</t>
  </si>
  <si>
    <t>Logged out successfully, redirected to login; protected pages required authentication. Browser autofill confirmed as browser behaviour.</t>
  </si>
  <si>
    <t>AUTH-07</t>
  </si>
  <si>
    <t>Customer Role Guard</t>
  </si>
  <si>
    <t>Customer blocked from /admin</t>
  </si>
  <si>
    <t>Redirected to Home page; Admin inaccessible.</t>
  </si>
  <si>
    <t>AUTH-08</t>
  </si>
  <si>
    <t>Supplier Role Guard</t>
  </si>
  <si>
    <t>Pending supplier blocked</t>
  </si>
  <si>
    <t>Application under review displayed; supplier dashboard inaccessible until approval.</t>
  </si>
  <si>
    <t>AUTH-09</t>
  </si>
  <si>
    <t>Guest Checkout Authentication</t>
  </si>
  <si>
    <t>Guest prompted to login</t>
  </si>
  <si>
    <t>Login modal displayed before adding to cart; customer could continue after login.</t>
  </si>
  <si>
    <t>Conclusion</t>
  </si>
  <si>
    <t>Authentication module successfully passed all executed UAT scenarios (AUTH-01 to AUTH-09). Overall Result: PASS.</t>
  </si>
  <si>
    <t>Test Case ID</t>
  </si>
  <si>
    <t>Test Steps</t>
  </si>
  <si>
    <t>Evidence / Screenshot</t>
  </si>
  <si>
    <t>Bug ID</t>
  </si>
  <si>
    <t>Comments</t>
  </si>
  <si>
    <t>CAT-01</t>
  </si>
  <si>
    <t>Catalog &amp; Search</t>
  </si>
  <si>
    <t>Browse products</t>
  </si>
  <si>
    <t>1. Open Products/Catalog page
2. Allow page to load
3. Confirm product grid/list loads
4. Check product prices
5. If more than 12 products, check pagination</t>
  </si>
  <si>
    <t>Product grid loads; prices are displayed; pagination is available if there are more than 12 products.</t>
  </si>
  <si>
    <t>Not Tested</t>
  </si>
  <si>
    <t>CAT-02</t>
  </si>
  <si>
    <t>Search</t>
  </si>
  <si>
    <t>CAT-03</t>
  </si>
  <si>
    <t>Category filter</t>
  </si>
  <si>
    <t>1. Open Products/Catalog
2. Select a category
3. Review displayed products</t>
  </si>
  <si>
    <t>Product list filters correctly according to the selected category.</t>
  </si>
  <si>
    <t>CAT-04</t>
  </si>
  <si>
    <t>Product detail</t>
  </si>
  <si>
    <t>1. Open Products/Catalog
2. Select a product
3. Review the product detail page</t>
  </si>
  <si>
    <t>Product details show name, price, stock, supplier and description.</t>
  </si>
  <si>
    <t>CAT-05</t>
  </si>
  <si>
    <t>Verified badge</t>
  </si>
  <si>
    <t>1. Locate a product from an approved supplier
2. Open/view the product
3. Check for verification indicator</t>
  </si>
  <si>
    <t>Products from approved suppliers display a Verified indicator where applicable.</t>
  </si>
  <si>
    <t>CAT-06</t>
  </si>
  <si>
    <t>Mobile layout</t>
  </si>
  <si>
    <t>1. Open /products on a phone/mobile width
2. Check navigation
3. Review product cards
4. Scroll and interact with the page</t>
  </si>
  <si>
    <t>Mobile layout has usable navigation and readable product cards.</t>
  </si>
  <si>
    <t>CART-01</t>
  </si>
  <si>
    <t>Cart &amp; Delivery Slot</t>
  </si>
  <si>
    <t>Add to cart</t>
  </si>
  <si>
    <t>1. Open a product
2. Select delivery slot
3. Click Add to Cart
4. Open cart and verify item</t>
  </si>
  <si>
    <t>Item is added to cart with the selected delivery slot.</t>
  </si>
  <si>
    <t>CART-02</t>
  </si>
  <si>
    <t>Slot required</t>
  </si>
  <si>
    <t>1. Open a product
2. Do not select morning/evening
3. Click Add to Cart</t>
  </si>
  <si>
    <t>System prevents adding and displays an error such as “select delivery slot”.</t>
  </si>
  <si>
    <t>CART-03</t>
  </si>
  <si>
    <t>Update quantity</t>
  </si>
  <si>
    <t>1. Open /cart
2. Increase quantity
3. Decrease quantity
4. Check total after each change</t>
  </si>
  <si>
    <t>Quantity updates correctly and the total recalculates accurately.</t>
  </si>
  <si>
    <t>CART-04</t>
  </si>
  <si>
    <t>Change slot</t>
  </si>
  <si>
    <t>1. Open /cart
2. Change delivery slot on a line item
3. Refresh/reopen cart if appropriate</t>
  </si>
  <si>
    <t>The newly selected morning/evening delivery slot is persisted.</t>
  </si>
  <si>
    <t>CART-05</t>
  </si>
  <si>
    <t>Stock limit</t>
  </si>
  <si>
    <t>1. Identify available stock
2. Set quantity above available stock
3. Attempt to continue</t>
  </si>
  <si>
    <t>System prevents quantity exceeding available stock and shows an appropriate error.</t>
  </si>
  <si>
    <t>CART-06</t>
  </si>
  <si>
    <t>Empty cart</t>
  </si>
  <si>
    <t>1. Open /cart
2. Remove all items
3. Attempt to proceed to checkout</t>
  </si>
  <si>
    <t>Cart becomes empty and checkout is blocked.</t>
  </si>
  <si>
    <t>CHK-01</t>
  </si>
  <si>
    <t>CHK-02</t>
  </si>
  <si>
    <t>Delivery at minimum</t>
  </si>
  <si>
    <t>CHK-03</t>
  </si>
  <si>
    <t>CHK-04</t>
  </si>
  <si>
    <t>Pickup at minimum</t>
  </si>
  <si>
    <t>CHK-05</t>
  </si>
  <si>
    <t>Required fields</t>
  </si>
  <si>
    <t>CHK-06</t>
  </si>
  <si>
    <t>Guest blocked</t>
  </si>
  <si>
    <t>PAY-01</t>
  </si>
  <si>
    <t>PAY-02</t>
  </si>
  <si>
    <t>PAY-03</t>
  </si>
  <si>
    <t>PAY-04</t>
  </si>
  <si>
    <t>Webhook</t>
  </si>
  <si>
    <t>PAY-05</t>
  </si>
  <si>
    <t>SUP-01</t>
  </si>
  <si>
    <t>SUP-02</t>
  </si>
  <si>
    <t>SUP-03</t>
  </si>
  <si>
    <t>Product CRUD</t>
  </si>
  <si>
    <t>SUP-04</t>
  </si>
  <si>
    <t>SUP-05</t>
  </si>
  <si>
    <t>SUP-06</t>
  </si>
  <si>
    <t>SUP-07</t>
  </si>
  <si>
    <t>ADM-01</t>
  </si>
  <si>
    <t>Admin</t>
  </si>
  <si>
    <t>ADM-02</t>
  </si>
  <si>
    <t>ADM-03</t>
  </si>
  <si>
    <t>ADM-04</t>
  </si>
  <si>
    <t>ADM-05</t>
  </si>
  <si>
    <t>PUB-01</t>
  </si>
  <si>
    <t>PUB-02</t>
  </si>
  <si>
    <t>About / Contact</t>
  </si>
  <si>
    <t>PUB-03</t>
  </si>
  <si>
    <t>Footer links</t>
  </si>
  <si>
    <t>PUB-04</t>
  </si>
  <si>
    <t>PUB-05</t>
  </si>
  <si>
    <t>May require environment, API, terminal or developer access.</t>
  </si>
  <si>
    <t>PUB-06</t>
  </si>
  <si>
    <t>PUB-07</t>
  </si>
  <si>
    <t>Dashboard Feedback</t>
  </si>
  <si>
    <t>OPS-01</t>
  </si>
  <si>
    <t>Staging Go-Live</t>
  </si>
  <si>
    <t>Health endpoint</t>
  </si>
  <si>
    <t>Send GET /api/v1/health against staging; inspect response</t>
  </si>
  <si>
    <t>API responds with {"status":"ok"}.</t>
  </si>
  <si>
    <t>OPS-02</t>
  </si>
  <si>
    <t>Staging smoke tests</t>
  </si>
  <si>
    <t>Run npm run smoke:week4 against staging API; review results</t>
  </si>
  <si>
    <t>Smoke test suite passes.</t>
  </si>
  <si>
    <t>OPS-03</t>
  </si>
  <si>
    <t>Paystack test transactions</t>
  </si>
  <si>
    <t>Perform at least 10 Paystack test transactions; verify each and webhook</t>
  </si>
  <si>
    <t>All transactions verify successfully and webhook processing works.</t>
  </si>
  <si>
    <t>OPS-04</t>
  </si>
  <si>
    <t>Mobile smoke journey</t>
  </si>
  <si>
    <t>On real phone complete customer, supplier and admin journeys</t>
  </si>
  <si>
    <t>Full journeys work successfully on mobile.</t>
  </si>
  <si>
    <t>Products catalog loaded successfully. Product cards displayed product names, prices and available stock. Pagination was available and Page 2 loaded successfully.</t>
  </si>
  <si>
    <t>N/A</t>
  </si>
  <si>
    <t>Correct product is returned when searching by product name.</t>
  </si>
  <si>
    <t xml:space="preserve">1. Open Products/Catalog
2. Enter a product name in search
3. Verify results
</t>
  </si>
  <si>
    <t>Entered “Chicken” in the product search field. The catalog successfully filtered the results and displayed the relevant “Chicken Breast” product.</t>
  </si>
  <si>
    <t>Selected the  pantry, vegetables, meat, dairy, grains, beverages and seafood from the category. The catalog successfully filtered the product list and displayed products in each category: No products from other categories were displayed.</t>
  </si>
  <si>
    <t>Selected Organic Bananas from the catalog. The product detail page opened successfully and displayed the product name, price, available stock, supplier and product description as expected.</t>
  </si>
  <si>
    <t>Opened Premium rice supplied by Green Valley Farms. The product detail page displayed a “Verified” badge next to the approved supplier information.</t>
  </si>
  <si>
    <t>Product page was tested on a mobile device. The layout adapted correctly to the mobile screen, navigation remained accessible through the hamburger menu, and product information and controls were clearly readable and usable.</t>
  </si>
  <si>
    <t>Crisp Carrots was successfully added to the shopping cart with a quantity of 5 kg. The selected Morning delivery slot was retained and displayed in the cart. The cart correctly calculated the total as ₦80,000.</t>
  </si>
  <si>
    <t>No error message is displayed when the user attempts to add a product without selecting a delivery slot.</t>
  </si>
  <si>
    <t>FAIL</t>
  </si>
  <si>
    <t>BUG-004</t>
  </si>
  <si>
    <t>Bug Title</t>
  </si>
  <si>
    <t>Description</t>
  </si>
  <si>
    <t>Steps to Reproduce</t>
  </si>
  <si>
    <t>Severity</t>
  </si>
  <si>
    <t>Priority</t>
  </si>
  <si>
    <t>Evidence</t>
  </si>
  <si>
    <t>No validation message displayed when adding product without delivery slot</t>
  </si>
  <si>
    <t>User attempts to add a product without selecting the required delivery slot. The product is not added, but no validation feedback is displayed.</t>
  </si>
  <si>
    <t>1. Log in.
2. Open an in-stock product.
3. Enter/select a valid quantity.
4. Do not select Morning or Evening.
5. Click Add to Cart.</t>
  </si>
  <si>
    <t>Product should not be added and a clear validation message should prompt the user to select a delivery slot.</t>
  </si>
  <si>
    <t>Product is not added. No validation/error message appears and the Add to Cart button appears to perform no action.</t>
  </si>
  <si>
    <t>Medium</t>
  </si>
  <si>
    <t>Open</t>
  </si>
  <si>
    <t>Screenshot/video to be attached</t>
  </si>
  <si>
    <t>Dova Chain web application</t>
  </si>
  <si>
    <t>Found during CART-02 UAT execution.</t>
  </si>
  <si>
    <t>BUG-CART-004</t>
  </si>
  <si>
    <t>Updated product quantities in the shopping cart. The system successfully recalculated the line totals according to the selected quantities. Crisp Carrots at ₦16,000 × 10 kg displayed ₦160,000, and Farm Milk at ₦22,000 × 5 kg displayed ₦110,000.</t>
  </si>
  <si>
    <t>Changed the delivery slot for the cart item from Morning to Evening. After refreshing the cart page, the newly selected Evening delivery slot remained selected, confirming that the change was successfully persisted.</t>
  </si>
  <si>
    <t>Available stock was 20 kg. A quantity of 22 kg was entered and the product was added to the cart. The system automatically reduced the quantity to 20 kg, but no warning or validation message was displayed to inform the customer that the requested quantity exceeded available stock.</t>
  </si>
  <si>
    <t>BUG-005</t>
  </si>
  <si>
    <t>Quantity above available stock is silently reduced without notifying customer</t>
  </si>
  <si>
    <t>When a customer enters a quantity greater than the available stock, the system automatically reduces it to the maximum available stock without notifying the customer.</t>
  </si>
  <si>
    <t>1. Open the Fresh Tomatoes product detail page.
2. Confirm available stock is 20 kg.
3. Enter 22 kg.
4. Select a delivery slot.
5. Click Add to Cart.
6. Open the cart and check the quantity.</t>
  </si>
  <si>
    <t>The system should prevent ordering above available stock and display a clear validation message informing the customer that only 20 kg is available.</t>
  </si>
  <si>
    <t>The customer entered 22 kg and the system indicated that the product was added to the cart. The quantity was automatically reduced to 20 kg without any warning or validation message.</t>
  </si>
  <si>
    <t>Found during CART-05 UAT execution.</t>
  </si>
  <si>
    <t>BUG-CART-005</t>
  </si>
  <si>
    <t>OPEN</t>
  </si>
  <si>
    <t>All items were removed from the shopping cart. The cart displayed an empty-cart message and the Proceed to Checkout option was no longer available, successfully preventing checkout with an empty cart.</t>
  </si>
  <si>
    <t>attached separately</t>
  </si>
  <si>
    <t>Overall Test Summary</t>
  </si>
  <si>
    <r>
      <t>Module:</t>
    </r>
    <r>
      <rPr>
        <sz val="11"/>
        <color theme="1"/>
        <rFont val="Calibri"/>
        <family val="2"/>
        <scheme val="minor"/>
      </rPr>
      <t xml:space="preserve"> Cart &amp; Delivery Slot</t>
    </r>
  </si>
  <si>
    <r>
      <t>Total Test Cases:</t>
    </r>
    <r>
      <rPr>
        <sz val="11"/>
        <color theme="1"/>
        <rFont val="Calibri"/>
        <family val="2"/>
        <scheme val="minor"/>
      </rPr>
      <t xml:space="preserve"> 6</t>
    </r>
  </si>
  <si>
    <r>
      <t>Passed:</t>
    </r>
    <r>
      <rPr>
        <sz val="11"/>
        <color theme="1"/>
        <rFont val="Calibri"/>
        <family val="2"/>
        <scheme val="minor"/>
      </rPr>
      <t xml:space="preserve"> 4</t>
    </r>
  </si>
  <si>
    <r>
      <t>Failed:</t>
    </r>
    <r>
      <rPr>
        <sz val="11"/>
        <color theme="1"/>
        <rFont val="Calibri"/>
        <family val="2"/>
        <scheme val="minor"/>
      </rPr>
      <t xml:space="preserve"> 2</t>
    </r>
  </si>
  <si>
    <r>
      <t>Pass Rate:</t>
    </r>
    <r>
      <rPr>
        <sz val="11"/>
        <color theme="1"/>
        <rFont val="Calibri"/>
        <family val="2"/>
        <scheme val="minor"/>
      </rPr>
      <t xml:space="preserve"> 66.7%</t>
    </r>
  </si>
  <si>
    <r>
      <t>Overall Result:</t>
    </r>
    <r>
      <rPr>
        <sz val="11"/>
        <color theme="1"/>
        <rFont val="Calibri"/>
        <family val="2"/>
        <scheme val="minor"/>
      </rPr>
      <t xml:space="preserve"> </t>
    </r>
    <r>
      <rPr>
        <b/>
        <sz val="11"/>
        <color theme="1"/>
        <rFont val="Calibri"/>
        <family val="2"/>
        <scheme val="minor"/>
      </rPr>
      <t>FAIL – Defects Found</t>
    </r>
  </si>
  <si>
    <t>Tester Summary / Comments:</t>
  </si>
  <si>
    <t>Cart and Delivery Slot functionality was tested against CART-01 to CART-06. Core cart functionality, quantity recalculation, delivery-slot persistence and empty-cart handling worked as expected. Two defects were identified: the system does not display a validation message when a delivery slot is not selected, and quantities exceeding available stock are automatically reduced without notifying the customer. Both issues should be corrected and retested.</t>
  </si>
  <si>
    <t>DOVA CHAIN – SUPPLIER MODULE TEST EXECUTION RESULTS</t>
  </si>
  <si>
    <t>Count</t>
  </si>
  <si>
    <t>Test Steps / Scope</t>
  </si>
  <si>
    <t>Notes / Defect</t>
  </si>
  <si>
    <t>Total Tests</t>
  </si>
  <si>
    <t>Supplier Registration</t>
  </si>
  <si>
    <t>Register through /auth/supplier-register and submit required details/documents.</t>
  </si>
  <si>
    <t>Supplier registration is created with Pending status.</t>
  </si>
  <si>
    <t>Supplier registration flow was exercised; supplier required approval before normal supplier access.</t>
  </si>
  <si>
    <t>Pending Dashboard / Access Before Approval</t>
  </si>
  <si>
    <t>Attempt supplier access before approval.</t>
  </si>
  <si>
    <t>Supplier should have limited access or receive a pending/restricted message until approved.</t>
  </si>
  <si>
    <t>Supplier access was restricted before approval. Supplier access worked after using approved/provided supplier credentials.</t>
  </si>
  <si>
    <t>Add a product, edit product details, verify catalog reflection, and remove the product.</t>
  </si>
  <si>
    <t>Supplier can add/edit/delete products and changes are reflected in the catalog when active.</t>
  </si>
  <si>
    <t>Product was added and edited successfully and changes appeared in the customer catalog. A removed product remained visible/inconsistent in supplier views after deletion.</t>
  </si>
  <si>
    <t>Defect: deleted product remained visible/inconsistent after removal.</t>
  </si>
  <si>
    <t>Image Upload</t>
  </si>
  <si>
    <t>Upload a product image in an allowed format (JPG/PNG/WEBP, max 5 MB).</t>
  </si>
  <si>
    <t>Image is stored and displayed with the product.</t>
  </si>
  <si>
    <t>A JPEG image was selected/uploaded during product creation and the product image displayed in the catalog.</t>
  </si>
  <si>
    <t>Stock Adjust</t>
  </si>
  <si>
    <t>Use +Stock and -Stock controls to restock/damage-adjust inventory.</t>
  </si>
  <si>
    <t>Stock history/quantity is updated correctly.</t>
  </si>
  <si>
    <t>Stock increased from 1000 to 1001 using +Stock, then decreased from 1001 to 1000 using -Stock.</t>
  </si>
  <si>
    <t>Quantity adjustment behaved correctly. Stock-history audit trail itself was not separately evidenced.</t>
  </si>
  <si>
    <t>Fulfillment</t>
  </si>
  <si>
    <t>Progress an order through its available fulfillment statuses.</t>
  </si>
  <si>
    <t>Only valid transitions are allowed: Pending/Paid → Processing → Shipped → Delivered.</t>
  </si>
  <si>
    <t>Order progressed sequentially from Pending → Processing → Shipped → Delivered. At each stage, the next valid status was presented.</t>
  </si>
  <si>
    <t>Stock on Purchase</t>
  </si>
  <si>
    <t>Record supplier stock, purchase product as customer, then recheck supplier stock.</t>
  </si>
  <si>
    <t>Supplier stock decreases by the quantity purchased.</t>
  </si>
  <si>
    <t>Black Beans stock decreased from 100 to 95 after a customer purchased 5 units.</t>
  </si>
  <si>
    <t>100 - 5 = 95; stock deduction matched purchased quantity.</t>
  </si>
  <si>
    <t>DOVA CHAIN – PAYMENT MODULE TEST EXECUTION RESULTS</t>
  </si>
  <si>
    <t>Mock Flow (No Secret Key)</t>
  </si>
  <si>
    <t>Checkout → Pay → redirect to /checkout/verify; complete the mock payment flow.</t>
  </si>
  <si>
    <t>Order is marked as paid after successful mock payment verification.</t>
  </si>
  <si>
    <t>Payment flow completed and the system displayed payment successful / treated the order as paid.</t>
  </si>
  <si>
    <t>Mock payment flow was exercised.</t>
  </si>
  <si>
    <t>Mock Idempotency</t>
  </si>
  <si>
    <t>Initialize payment twice for the same order.</t>
  </si>
  <si>
    <t>The same payment reference should be reused; duplicate payment initialization should not create a new reference.</t>
  </si>
  <si>
    <t>During execution, the payment/network flow required inspection and the same-reference reuse could not be conclusively verified from the available evidence.</t>
  </si>
  <si>
    <t>Developer/network evidence is required to confirm idempotency/reference reuse.</t>
  </si>
  <si>
    <t>Paystack Test Payment</t>
  </si>
  <si>
    <t>Checkout → Paystack test card → Paystack page → verify payment.</t>
  </si>
  <si>
    <t>Payment verifies successfully and order status becomes paid.</t>
  </si>
  <si>
    <t>Not Fully Verified</t>
  </si>
  <si>
    <t>Send/receive Paystack charge.success webhook at /payments/webhook.</t>
  </si>
  <si>
    <t>Order is marked paid when the webhook signature is valid.</t>
  </si>
  <si>
    <t>Webhook-related test was executed during the payment module testing; no separate defect was identified from the recorded execution.</t>
  </si>
  <si>
    <t>Signature-level technical validation was not independently evidenced in the screenshots.</t>
  </si>
  <si>
    <t>Order History After Payment</t>
  </si>
  <si>
    <t>Complete payment, then open customer order history.</t>
  </si>
  <si>
    <t>Order appears in customer order history with Paid status.</t>
  </si>
  <si>
    <t>Order history test was executed after payment flow and no separate failure was recorded.</t>
  </si>
  <si>
    <t>Customer order history/payment-status check completed.</t>
  </si>
  <si>
    <t>DOVA – Admin Module Test Execution Report</t>
  </si>
  <si>
    <t>Execution summary: ADM-01 to ADM-05 completed; all five test cases passed.</t>
  </si>
  <si>
    <t>Severity / Notes</t>
  </si>
  <si>
    <t>Admin Dashboard</t>
  </si>
  <si>
    <t>Log in as Admin and open the Admin Dashboard. Review Users, Suppliers, Products and Orders information.</t>
  </si>
  <si>
    <t>Admin dashboard displays platform users, suppliers, products, orders and counts correctly.</t>
  </si>
  <si>
    <t>Admin login and dashboard loaded successfully. Users, suppliers, products and orders information was displayed and accessible.</t>
  </si>
  <si>
    <t>No issue observed.</t>
  </si>
  <si>
    <t>Approve Supplier</t>
  </si>
  <si>
    <t>Open Suppliers, select a pending supplier and approve the application. Verify the supplier becomes active and can add products.</t>
  </si>
  <si>
    <t>Pending supplier can be approved; supplier becomes active and can add products.</t>
  </si>
  <si>
    <t>Pending supplier approval completed successfully. Supplier became active and supplier functionality was available.</t>
  </si>
  <si>
    <t>Approval flow worked as expected.</t>
  </si>
  <si>
    <t>Reject Supplier</t>
  </si>
  <si>
    <t>Open Suppliers, select a pending supplier, click Reject, enter a rejection reason and confirm. Attempt supplier access afterward.</t>
  </si>
  <si>
    <t>Supplier is rejected/inactive and cannot access supplier functionality.</t>
  </si>
  <si>
    <t>Rejection reason box was displayed. After confirming rejection, the supplier disappeared from the pending list. When accessing the supplier area, 'Application not approved' was displayed.</t>
  </si>
  <si>
    <t>Rejection flow worked as expected.</t>
  </si>
  <si>
    <t>Manage Users and Products</t>
  </si>
  <si>
    <t>Open Users and toggle account status. Open Products and activate/deactivate a marketplace product.</t>
  </si>
  <si>
    <t>Admin can toggle user and product active/inactive status and changes are reflected correctly.</t>
  </si>
  <si>
    <t>User status changed correctly between active/inactive. Product status also changed correctly when activated/deactivated.</t>
  </si>
  <si>
    <t>Both user and product status controls worked.</t>
  </si>
  <si>
    <t>Contacts Inbox</t>
  </si>
  <si>
    <t>From the storefront open Contact Us, submit a contact message, then return to Admin &gt; Contacts.</t>
  </si>
  <si>
    <t>Submitted contact message is visible in the Admin Contacts table.</t>
  </si>
  <si>
    <t>Contact form displayed a successful submission confirmation. The submitted message appeared in Admin &gt; Contacts with name, email, message, status and date.</t>
  </si>
  <si>
    <t>Contact submission and Admin visibility confirmed.</t>
  </si>
  <si>
    <t>DOVA CHAIN – CHECKOUT &amp; MINIMUM ORDER TEST EXECUTION RESULTS</t>
  </si>
  <si>
    <t>Delivery minimum ₦5,000</t>
  </si>
  <si>
    <t>Basket ₦4,999 → select Delivery → attempt checkout.</t>
  </si>
  <si>
    <t>Blocked; 'Add ₦X more…' message.</t>
  </si>
  <si>
    <t>Delivery checkout below the required minimum was blocked during testing.</t>
  </si>
  <si>
    <t>Minimum-order validation enforced.</t>
  </si>
  <si>
    <t>Basket ≥ ₦5,000 → select Delivery → proceed.</t>
  </si>
  <si>
    <t>Checkout allowed.</t>
  </si>
  <si>
    <t>Checkout was allowed once the delivery basket met the ₦5,000 minimum.</t>
  </si>
  <si>
    <t>Delivery minimum threshold accepted.</t>
  </si>
  <si>
    <t>Pickup minimum ₦3,000</t>
  </si>
  <si>
    <t>Basket ₦2,999 → select Pickup → attempt checkout.</t>
  </si>
  <si>
    <t>Checkout blocked.</t>
  </si>
  <si>
    <t>Pickup checkout below the required minimum was blocked during testing.</t>
  </si>
  <si>
    <t>Pickup minimum-order validation enforced.</t>
  </si>
  <si>
    <t>Basket ≥ ₦3,000 → select Pickup → proceed.</t>
  </si>
  <si>
    <t>Checkout allowed; default hub address OK.</t>
  </si>
  <si>
    <t>Pickup checkout proceeded once the basket met the ₦3,000 minimum.</t>
  </si>
  <si>
    <t>Pickup threshold accepted.</t>
  </si>
  <si>
    <t>Attempt Delivery checkout with required name/phone/address missing.</t>
  </si>
  <si>
    <t>Validation error.</t>
  </si>
  <si>
    <t>Required-field validation was exercised during checkout testing.</t>
  </si>
  <si>
    <t>No unresolved required-field defect recorded.</t>
  </si>
  <si>
    <t>Attempt checkout while logged out.</t>
  </si>
  <si>
    <t>Login modal or redirect.</t>
  </si>
  <si>
    <t>Guest checkout required authentication before the checkout flow could continue.</t>
  </si>
  <si>
    <t>Authentication requirement enforced.</t>
  </si>
  <si>
    <t>Home</t>
  </si>
  <si>
    <t>Open / as a guest user and review the hero section, featured content and CTA buttons.</t>
  </si>
  <si>
    <t>Hero section, featured content and CTA are displayed.</t>
  </si>
  <si>
    <t>Home page loaded successfully as a guest. Hero section, CTA buttons, How DOVA Works and Featured Products were displayed correctly.</t>
  </si>
  <si>
    <t>Evidence captured from homepage and featured-products screenshots.</t>
  </si>
  <si>
    <t>Open About and Contact pages as a guest; submit the Contact form and verify persistence.</t>
  </si>
  <si>
    <t>Static pages render correctly and the contact submission persists.</t>
  </si>
  <si>
    <t>About Us and Contact Us rendered correctly. Contact form submitted successfully and the message later appeared in Admin Contacts.</t>
  </si>
  <si>
    <t>Contact persistence also verified during ADM-05.</t>
  </si>
  <si>
    <t>Click all footer links and verify each destination.</t>
  </si>
  <si>
    <t>All footer links navigate to the correct routes.</t>
  </si>
  <si>
    <t>All tested footer links worked and navigated to the intended pages without errors.</t>
  </si>
  <si>
    <t>User confirmed all footer links worked.</t>
  </si>
  <si>
    <t>Feedback link (guest)</t>
  </si>
  <si>
    <t>While logged out, click Feedback from the public navigation.</t>
  </si>
  <si>
    <t>Feedback opens /feedback in the same tab.</t>
  </si>
  <si>
    <t>As a guest in Incognito, clicking Feedback opened /feedback successfully in the same tab.</t>
  </si>
  <si>
    <t>Guest Feedback page screenshot captured.</t>
  </si>
  <si>
    <t>Feedback SSO (logged in)</t>
  </si>
  <si>
    <t>Log in as a customer, click Feedback, and verify the logged-in identity is carried into Feedback.</t>
  </si>
  <si>
    <t>Feedback redirects through SSO and /feedback recognizes the logged-in DOVA user.</t>
  </si>
  <si>
    <t>Feedback opened successfully while logged in and displayed 'Posting as Keresia Karuma', confirming the customer identity was recognized.</t>
  </si>
  <si>
    <t>Logged-in Feedback screenshot captured.</t>
  </si>
  <si>
    <t>External FeedLog mode</t>
  </si>
  <si>
    <t>Set NEXT_PUBLIC_FEEDLOG_INTEGRATED=false with the external FeedLog URL empty, restart the frontend, then inspect Feedback entry points.</t>
  </si>
  <si>
    <t>Feedback links are hidden.</t>
  </si>
  <si>
    <t>Not executed because the current environment remained in integrated mode and this test requires a configuration change.</t>
  </si>
  <si>
    <t>BLOCKED / NOT TESTED</t>
  </si>
  <si>
    <t>Requires frontend environment configuration change and restart before verification.</t>
  </si>
  <si>
    <t>While logged in as Customer, Supplier and Admin, use each role's Feedback entry point.</t>
  </si>
  <si>
    <t>Feedback entry points lead to /feedback for Admin, Supplier and Customer.</t>
  </si>
  <si>
    <t>Customer Feedback opened and recognized the customer. Supplier Feedback opened and displayed 'Posting as Demo Supplier'. Admin Feedback Board also opened successfully.</t>
  </si>
  <si>
    <t>All three roles verified successfully.</t>
  </si>
  <si>
    <t>paystack test checkout opened, payment succeeded , verification completed and Dova displayed payment succcessful</t>
  </si>
  <si>
    <t>Paystack test payment/verification successful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</si>
</sst>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name val="Calibri"/>
    </font>
    <font>
      <b/>
      <sz val="11"/>
      <color theme="1"/>
      <name val="Calibri"/>
      <family val="2"/>
      <scheme val="minor"/>
    </font>
    <font>
      <sz val="11"/>
      <color rgb="FF00B050"/>
      <name val="Calibri"/>
      <family val="2"/>
      <scheme val="minor"/>
    </font>
    <font>
      <sz val="11"/>
      <name val="Carlito"/>
    </font>
    <font>
      <b/>
      <sz val="11"/>
      <color rgb="FFFFFFFF"/>
      <name val="Carlito"/>
    </font>
    <font>
      <b/>
      <sz val="11"/>
      <color rgb="FFFFFFFF"/>
      <name val="Calibri"/>
    </font>
    <font>
      <b/>
      <sz val="13.5"/>
      <color theme="1"/>
      <name val="Calibri"/>
      <family val="2"/>
      <scheme val="minor"/>
    </font>
    <font>
      <b/>
      <sz val="14"/>
      <color rgb="FFFFFFFF"/>
      <name val="Carlito"/>
    </font>
    <font>
      <b/>
      <sz val="16"/>
      <color rgb="FFFFFFFF"/>
      <name val="Carlito"/>
    </font>
    <font>
      <i/>
      <sz val="11"/>
      <color rgb="FF14532D"/>
      <name val="Carlito"/>
    </font>
    <font>
      <b/>
      <sz val="14"/>
      <color rgb="FFFFFFFF"/>
      <name val="Calibri"/>
    </font>
    <font>
      <b/>
      <sz val="11"/>
      <color rgb="FF166534"/>
      <name val="Calibri"/>
    </font>
  </fonts>
  <fills count="9">
    <fill>
      <patternFill patternType="none"/>
    </fill>
    <fill>
      <patternFill patternType="gray125"/>
    </fill>
    <fill>
      <patternFill patternType="solid">
        <fgColor rgb="FF00B050"/>
        <bgColor indexed="64"/>
      </patternFill>
    </fill>
    <fill>
      <patternFill patternType="solid">
        <fgColor rgb="FF1F4E78"/>
      </patternFill>
    </fill>
    <fill>
      <patternFill patternType="solid">
        <fgColor rgb="FF92D050"/>
        <bgColor indexed="64"/>
      </patternFill>
    </fill>
    <fill>
      <patternFill patternType="solid">
        <fgColor theme="8" tint="0.79998168889431442"/>
        <bgColor indexed="64"/>
      </patternFill>
    </fill>
    <fill>
      <patternFill patternType="solid">
        <fgColor rgb="FF14532D"/>
      </patternFill>
    </fill>
    <fill>
      <patternFill patternType="solid">
        <fgColor rgb="FF166534"/>
      </patternFill>
    </fill>
    <fill>
      <patternFill patternType="solid">
        <fgColor rgb="FFDCFCE7"/>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4" fillId="0" borderId="0"/>
  </cellStyleXfs>
  <cellXfs count="27">
    <xf numFmtId="0" fontId="0" fillId="0" borderId="0" xfId="0"/>
    <xf numFmtId="0" fontId="1" fillId="0" borderId="0" xfId="0" applyFont="1"/>
    <xf numFmtId="0" fontId="3" fillId="0" borderId="0" xfId="0" applyFont="1"/>
    <xf numFmtId="0" fontId="2" fillId="2" borderId="0" xfId="0" applyFont="1" applyFill="1"/>
    <xf numFmtId="0" fontId="0" fillId="0" borderId="0" xfId="0" applyAlignment="1">
      <alignment wrapText="1"/>
    </xf>
    <xf numFmtId="0" fontId="2" fillId="0" borderId="0" xfId="0" applyFont="1"/>
    <xf numFmtId="0" fontId="0" fillId="0" borderId="1" xfId="0" applyBorder="1"/>
    <xf numFmtId="0" fontId="6" fillId="3"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left" vertical="center" wrapText="1" indent="1"/>
    </xf>
    <xf numFmtId="0" fontId="6" fillId="4" borderId="0" xfId="0" applyFont="1" applyFill="1" applyAlignment="1">
      <alignment horizontal="center" vertical="center" wrapText="1"/>
    </xf>
    <xf numFmtId="0" fontId="7" fillId="5" borderId="0" xfId="0" applyFont="1" applyFill="1" applyAlignment="1">
      <alignment vertical="center"/>
    </xf>
    <xf numFmtId="0" fontId="0" fillId="5" borderId="0" xfId="0" applyFill="1"/>
    <xf numFmtId="0" fontId="2" fillId="5" borderId="0" xfId="0" applyFont="1" applyFill="1"/>
    <xf numFmtId="0" fontId="0" fillId="5" borderId="0" xfId="0" applyFill="1" applyAlignment="1">
      <alignment horizontal="left" vertical="center" indent="1"/>
    </xf>
    <xf numFmtId="0" fontId="0" fillId="5" borderId="0" xfId="0" applyFill="1" applyAlignment="1">
      <alignment horizontal="left" vertical="center" wrapText="1" indent="1"/>
    </xf>
    <xf numFmtId="0" fontId="5" fillId="6" borderId="0" xfId="0" applyFont="1" applyFill="1" applyAlignment="1">
      <alignment horizontal="center"/>
    </xf>
    <xf numFmtId="0" fontId="5" fillId="7" borderId="0" xfId="0" applyFont="1" applyFill="1" applyAlignment="1">
      <alignment horizontal="center" vertical="center" wrapText="1"/>
    </xf>
    <xf numFmtId="0" fontId="5" fillId="7" borderId="0" xfId="0" applyFont="1" applyFill="1" applyAlignment="1">
      <alignment horizontal="center" vertical="top" wrapText="1"/>
    </xf>
    <xf numFmtId="0" fontId="6" fillId="7" borderId="0" xfId="0" applyFont="1" applyFill="1" applyAlignment="1">
      <alignment horizontal="center" vertical="center" wrapText="1"/>
    </xf>
    <xf numFmtId="0" fontId="0" fillId="0" borderId="2" xfId="0" applyBorder="1" applyAlignment="1">
      <alignment vertical="top" wrapText="1"/>
    </xf>
    <xf numFmtId="0" fontId="12" fillId="8" borderId="2" xfId="0" applyFont="1" applyFill="1" applyBorder="1" applyAlignment="1">
      <alignment vertical="top" wrapText="1"/>
    </xf>
    <xf numFmtId="0" fontId="8" fillId="6" borderId="0" xfId="0" applyFont="1" applyFill="1" applyAlignment="1">
      <alignment horizontal="center" vertical="center"/>
    </xf>
    <xf numFmtId="0" fontId="11" fillId="6" borderId="0" xfId="0" applyFont="1" applyFill="1" applyAlignment="1">
      <alignment horizontal="center"/>
    </xf>
    <xf numFmtId="0" fontId="0" fillId="0" borderId="0" xfId="0"/>
    <xf numFmtId="0" fontId="9" fillId="6" borderId="0" xfId="0" applyFont="1" applyFill="1" applyAlignment="1">
      <alignment horizontal="center" vertical="center"/>
    </xf>
    <xf numFmtId="0" fontId="10" fillId="8" borderId="0" xfId="0" applyFont="1" applyFill="1" applyAlignment="1">
      <alignment vertical="center"/>
    </xf>
  </cellXfs>
  <cellStyles count="2">
    <cellStyle name="Normal" xfId="0" builtinId="0"/>
    <cellStyle name="Normal 2" xfId="1" xr:uid="{C2A5A3ED-7AFB-439A-A920-CA332A0250C6}"/>
  </cellStyles>
  <dxfs count="10">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C49CAC-8DC7-401A-AC98-3F01E6690A83}" name="AdminTestResultsTable" displayName="AdminTestResultsTable" ref="A3:H8" totalsRowShown="0">
  <tableColumns count="8">
    <tableColumn id="1" xr3:uid="{58869713-85B8-4F8E-88FE-DFFC1CBAE0CA}" name="Test Case ID"/>
    <tableColumn id="2" xr3:uid="{E280D62B-5E77-4724-9A95-CA85CB740F01}" name="Module"/>
    <tableColumn id="3" xr3:uid="{733B9531-1594-4892-A3DD-FE334F48FEA1}" name="Scenario"/>
    <tableColumn id="4" xr3:uid="{1A99F02B-3A21-4ABA-8505-06EEAB7A5E0A}" name="Test Steps"/>
    <tableColumn id="5" xr3:uid="{F04E60E0-D65A-4C85-A2DC-D5F241D5FE6A}" name="Expected Result"/>
    <tableColumn id="6" xr3:uid="{826F5A5F-ACBC-48F4-BA36-EBC7E2F79184}" name="Actual Result"/>
    <tableColumn id="7" xr3:uid="{44CD5D1F-24C7-41EA-AFF5-4D122C1ADC7B}" name="Status"/>
    <tableColumn id="8" xr3:uid="{F0156112-68F7-4660-B02F-048BF16079BF}" name="Severity /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6D4CA0-91F5-43EC-8DE8-7B28E22DE138}" name="PublicFeedLogResults" displayName="PublicFeedLogResults" ref="A1:G8" totalsRowShown="0">
  <tableColumns count="7">
    <tableColumn id="1" xr3:uid="{16B94D03-1993-454D-B6C3-D0C3F7AC28EA}" name="Test Case ID"/>
    <tableColumn id="2" xr3:uid="{FED3E03E-68F9-4E14-B152-11E9EB85057A}" name="Scenario"/>
    <tableColumn id="3" xr3:uid="{B42A2F83-CC81-4345-8654-D17564361AF0}" name="Test Steps / Scope"/>
    <tableColumn id="4" xr3:uid="{6EA5E8DB-A82E-4F1E-9EDB-6037654D7EDD}" name="Expected Result"/>
    <tableColumn id="5" xr3:uid="{4AD37C64-1D6B-41C0-9C2E-9A422AF5AF57}" name="Actual Result"/>
    <tableColumn id="6" xr3:uid="{DE784B6A-C66D-4AB7-AA13-32310180B1AE}" name="Status"/>
    <tableColumn id="7" xr3:uid="{E3286CE2-54BD-4148-A8E6-229507994064}" name="Notes / Defe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opLeftCell="D21" zoomScaleNormal="100" workbookViewId="0">
      <selection activeCell="C11" sqref="C11"/>
    </sheetView>
  </sheetViews>
  <sheetFormatPr defaultRowHeight="14.5"/>
  <cols>
    <col min="1" max="1" width="20.81640625" customWidth="1"/>
    <col min="2" max="2" width="29.6328125" customWidth="1"/>
    <col min="3" max="3" width="31.7265625" customWidth="1"/>
    <col min="4" max="4" width="46.81640625" customWidth="1"/>
    <col min="5" max="5" width="13.1796875" customWidth="1"/>
  </cols>
  <sheetData>
    <row r="1" spans="1:5">
      <c r="A1" s="1" t="s">
        <v>0</v>
      </c>
      <c r="B1" s="1" t="s">
        <v>1</v>
      </c>
      <c r="C1" s="1"/>
      <c r="D1" s="1"/>
      <c r="E1" s="1"/>
    </row>
    <row r="2" spans="1:5">
      <c r="A2" t="s">
        <v>2</v>
      </c>
      <c r="B2" t="s">
        <v>3</v>
      </c>
    </row>
    <row r="3" spans="1:5">
      <c r="A3" t="s">
        <v>4</v>
      </c>
      <c r="B3" t="s">
        <v>5</v>
      </c>
    </row>
    <row r="4" spans="1:5">
      <c r="A4" t="s">
        <v>6</v>
      </c>
      <c r="B4" t="s">
        <v>7</v>
      </c>
    </row>
    <row r="5" spans="1:5">
      <c r="A5" t="s">
        <v>8</v>
      </c>
      <c r="B5" t="s">
        <v>9</v>
      </c>
    </row>
    <row r="7" spans="1:5">
      <c r="A7" s="1" t="s">
        <v>10</v>
      </c>
      <c r="B7" s="1"/>
      <c r="C7" s="1"/>
      <c r="D7" s="1"/>
      <c r="E7" s="1"/>
    </row>
    <row r="8" spans="1:5">
      <c r="A8" s="1" t="s">
        <v>11</v>
      </c>
      <c r="B8" s="1" t="s">
        <v>12</v>
      </c>
      <c r="C8" s="1"/>
      <c r="D8" s="1"/>
      <c r="E8" s="1"/>
    </row>
    <row r="9" spans="1:5">
      <c r="A9" t="s">
        <v>13</v>
      </c>
      <c r="B9">
        <v>9</v>
      </c>
    </row>
    <row r="10" spans="1:5">
      <c r="A10" t="s">
        <v>14</v>
      </c>
      <c r="B10">
        <v>9</v>
      </c>
    </row>
    <row r="11" spans="1:5">
      <c r="A11" t="s">
        <v>15</v>
      </c>
      <c r="B11">
        <v>0</v>
      </c>
      <c r="C11" s="6"/>
    </row>
    <row r="12" spans="1:5">
      <c r="A12" t="s">
        <v>16</v>
      </c>
      <c r="B12">
        <v>0</v>
      </c>
    </row>
    <row r="13" spans="1:5">
      <c r="A13" t="s">
        <v>17</v>
      </c>
      <c r="B13" t="s">
        <v>18</v>
      </c>
    </row>
    <row r="15" spans="1:5">
      <c r="A15" s="1" t="s">
        <v>19</v>
      </c>
      <c r="B15" s="1"/>
      <c r="C15" s="1"/>
      <c r="D15" s="1"/>
      <c r="E15" s="1"/>
    </row>
    <row r="16" spans="1:5">
      <c r="A16" s="3" t="s">
        <v>20</v>
      </c>
      <c r="B16" s="3" t="s">
        <v>21</v>
      </c>
      <c r="C16" s="3" t="s">
        <v>22</v>
      </c>
      <c r="D16" s="3" t="s">
        <v>23</v>
      </c>
      <c r="E16" s="3" t="s">
        <v>24</v>
      </c>
    </row>
    <row r="17" spans="1:5" ht="29">
      <c r="A17" t="s">
        <v>25</v>
      </c>
      <c r="B17" t="s">
        <v>26</v>
      </c>
      <c r="C17" t="s">
        <v>27</v>
      </c>
      <c r="D17" s="4" t="s">
        <v>28</v>
      </c>
      <c r="E17" s="2" t="s">
        <v>29</v>
      </c>
    </row>
    <row r="18" spans="1:5">
      <c r="A18" t="s">
        <v>30</v>
      </c>
      <c r="B18" t="s">
        <v>31</v>
      </c>
      <c r="C18" t="s">
        <v>32</v>
      </c>
      <c r="D18" s="4" t="s">
        <v>33</v>
      </c>
      <c r="E18" s="2" t="s">
        <v>29</v>
      </c>
    </row>
    <row r="19" spans="1:5">
      <c r="A19" t="s">
        <v>34</v>
      </c>
      <c r="B19" t="s">
        <v>35</v>
      </c>
      <c r="C19" t="s">
        <v>36</v>
      </c>
      <c r="D19" s="4" t="s">
        <v>37</v>
      </c>
      <c r="E19" s="2" t="s">
        <v>29</v>
      </c>
    </row>
    <row r="20" spans="1:5">
      <c r="A20" t="s">
        <v>38</v>
      </c>
      <c r="B20" t="s">
        <v>39</v>
      </c>
      <c r="C20" t="s">
        <v>40</v>
      </c>
      <c r="D20" t="s">
        <v>41</v>
      </c>
      <c r="E20" s="2" t="s">
        <v>29</v>
      </c>
    </row>
    <row r="21" spans="1:5">
      <c r="A21" t="s">
        <v>42</v>
      </c>
      <c r="B21" t="s">
        <v>43</v>
      </c>
      <c r="C21" t="s">
        <v>44</v>
      </c>
      <c r="D21" t="s">
        <v>45</v>
      </c>
      <c r="E21" s="2" t="s">
        <v>29</v>
      </c>
    </row>
    <row r="22" spans="1:5" ht="43.5">
      <c r="A22" t="s">
        <v>46</v>
      </c>
      <c r="B22" t="s">
        <v>47</v>
      </c>
      <c r="C22" s="4" t="s">
        <v>48</v>
      </c>
      <c r="D22" s="4" t="s">
        <v>49</v>
      </c>
      <c r="E22" s="2" t="s">
        <v>29</v>
      </c>
    </row>
    <row r="23" spans="1:5">
      <c r="A23" t="s">
        <v>50</v>
      </c>
      <c r="B23" t="s">
        <v>51</v>
      </c>
      <c r="C23" t="s">
        <v>52</v>
      </c>
      <c r="D23" t="s">
        <v>53</v>
      </c>
      <c r="E23" s="2" t="s">
        <v>29</v>
      </c>
    </row>
    <row r="24" spans="1:5" ht="29">
      <c r="A24" t="s">
        <v>54</v>
      </c>
      <c r="B24" t="s">
        <v>55</v>
      </c>
      <c r="C24" t="s">
        <v>56</v>
      </c>
      <c r="D24" s="4" t="s">
        <v>57</v>
      </c>
      <c r="E24" s="2" t="s">
        <v>29</v>
      </c>
    </row>
    <row r="25" spans="1:5" ht="29">
      <c r="A25" t="s">
        <v>58</v>
      </c>
      <c r="B25" t="s">
        <v>59</v>
      </c>
      <c r="C25" t="s">
        <v>60</v>
      </c>
      <c r="D25" s="4" t="s">
        <v>61</v>
      </c>
      <c r="E25" s="2" t="s">
        <v>29</v>
      </c>
    </row>
    <row r="27" spans="1:5">
      <c r="A27" s="5" t="s">
        <v>62</v>
      </c>
    </row>
    <row r="28" spans="1:5">
      <c r="A28" t="s">
        <v>63</v>
      </c>
    </row>
  </sheetData>
  <pageMargins left="0.75" right="0.75" top="1" bottom="1" header="0.5" footer="0.5"/>
  <pageSetup paperSize="9" scale="44"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6CF93-24DE-482A-A5DD-C7D5A7259CC7}">
  <dimension ref="A1:J7"/>
  <sheetViews>
    <sheetView topLeftCell="F6" zoomScaleNormal="100" workbookViewId="0">
      <selection activeCell="I8" sqref="I8"/>
    </sheetView>
  </sheetViews>
  <sheetFormatPr defaultRowHeight="14.5"/>
  <cols>
    <col min="1" max="1" width="14.1796875" customWidth="1"/>
    <col min="2" max="2" width="18.54296875" customWidth="1"/>
    <col min="3" max="3" width="22" customWidth="1"/>
    <col min="4" max="4" width="44.08984375" customWidth="1"/>
    <col min="5" max="5" width="40.81640625" customWidth="1"/>
    <col min="6" max="6" width="36.6328125" customWidth="1"/>
    <col min="7" max="7" width="12.6328125" customWidth="1"/>
    <col min="8" max="8" width="13" customWidth="1"/>
    <col min="10" max="10" width="26.1796875" customWidth="1"/>
  </cols>
  <sheetData>
    <row r="1" spans="1:10">
      <c r="A1" t="s">
        <v>64</v>
      </c>
      <c r="B1" t="s">
        <v>2</v>
      </c>
      <c r="C1" t="s">
        <v>21</v>
      </c>
      <c r="D1" t="s">
        <v>65</v>
      </c>
      <c r="E1" t="s">
        <v>22</v>
      </c>
      <c r="F1" t="s">
        <v>23</v>
      </c>
      <c r="G1" t="s">
        <v>24</v>
      </c>
      <c r="H1" t="s">
        <v>66</v>
      </c>
      <c r="I1" t="s">
        <v>67</v>
      </c>
      <c r="J1" t="s">
        <v>68</v>
      </c>
    </row>
    <row r="2" spans="1:10" ht="72.5">
      <c r="A2" t="s">
        <v>69</v>
      </c>
      <c r="B2" t="s">
        <v>70</v>
      </c>
      <c r="C2" t="s">
        <v>71</v>
      </c>
      <c r="D2" s="4" t="s">
        <v>72</v>
      </c>
      <c r="E2" s="4" t="s">
        <v>73</v>
      </c>
      <c r="F2" s="4" t="s">
        <v>176</v>
      </c>
      <c r="G2" t="s">
        <v>29</v>
      </c>
      <c r="I2" s="4" t="s">
        <v>177</v>
      </c>
    </row>
    <row r="3" spans="1:10" ht="58">
      <c r="A3" t="s">
        <v>75</v>
      </c>
      <c r="B3" t="s">
        <v>70</v>
      </c>
      <c r="C3" t="s">
        <v>76</v>
      </c>
      <c r="D3" s="4" t="s">
        <v>179</v>
      </c>
      <c r="E3" s="4" t="s">
        <v>178</v>
      </c>
      <c r="F3" s="4" t="s">
        <v>180</v>
      </c>
      <c r="G3" t="s">
        <v>29</v>
      </c>
      <c r="I3" t="s">
        <v>177</v>
      </c>
    </row>
    <row r="4" spans="1:10" ht="87">
      <c r="A4" t="s">
        <v>77</v>
      </c>
      <c r="B4" t="s">
        <v>70</v>
      </c>
      <c r="C4" t="s">
        <v>78</v>
      </c>
      <c r="D4" s="4" t="s">
        <v>79</v>
      </c>
      <c r="E4" s="4" t="s">
        <v>80</v>
      </c>
      <c r="F4" s="4" t="s">
        <v>181</v>
      </c>
      <c r="G4" t="s">
        <v>29</v>
      </c>
      <c r="I4" s="4" t="s">
        <v>177</v>
      </c>
    </row>
    <row r="5" spans="1:10" ht="72.5">
      <c r="A5" t="s">
        <v>81</v>
      </c>
      <c r="B5" t="s">
        <v>70</v>
      </c>
      <c r="C5" t="s">
        <v>82</v>
      </c>
      <c r="D5" s="4" t="s">
        <v>83</v>
      </c>
      <c r="E5" s="4" t="s">
        <v>84</v>
      </c>
      <c r="F5" s="4" t="s">
        <v>182</v>
      </c>
      <c r="G5" t="s">
        <v>29</v>
      </c>
      <c r="I5" s="4" t="s">
        <v>177</v>
      </c>
    </row>
    <row r="6" spans="1:10" ht="58">
      <c r="A6" t="s">
        <v>85</v>
      </c>
      <c r="B6" t="s">
        <v>70</v>
      </c>
      <c r="C6" t="s">
        <v>86</v>
      </c>
      <c r="D6" s="4" t="s">
        <v>87</v>
      </c>
      <c r="E6" s="4" t="s">
        <v>88</v>
      </c>
      <c r="F6" s="4" t="s">
        <v>183</v>
      </c>
      <c r="G6" t="s">
        <v>29</v>
      </c>
      <c r="I6" s="4" t="s">
        <v>177</v>
      </c>
    </row>
    <row r="7" spans="1:10" ht="87">
      <c r="A7" t="s">
        <v>89</v>
      </c>
      <c r="B7" t="s">
        <v>70</v>
      </c>
      <c r="C7" t="s">
        <v>90</v>
      </c>
      <c r="D7" s="4" t="s">
        <v>91</v>
      </c>
      <c r="E7" s="4" t="s">
        <v>92</v>
      </c>
      <c r="F7" s="4" t="s">
        <v>184</v>
      </c>
      <c r="G7" t="s">
        <v>29</v>
      </c>
      <c r="I7" s="4" t="s">
        <v>177</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60A83-E80C-4F76-9878-2BBACD4A8D41}">
  <dimension ref="A1:J21"/>
  <sheetViews>
    <sheetView topLeftCell="D16" workbookViewId="0">
      <selection activeCell="E21" sqref="E21"/>
    </sheetView>
  </sheetViews>
  <sheetFormatPr defaultRowHeight="14.5"/>
  <cols>
    <col min="1" max="1" width="16.26953125" customWidth="1"/>
    <col min="2" max="2" width="26.54296875" customWidth="1"/>
    <col min="3" max="3" width="20.26953125" customWidth="1"/>
    <col min="4" max="4" width="34.90625" customWidth="1"/>
    <col min="5" max="5" width="39.36328125" customWidth="1"/>
    <col min="6" max="6" width="35" customWidth="1"/>
    <col min="7" max="7" width="11.54296875" customWidth="1"/>
    <col min="8" max="8" width="19.453125" customWidth="1"/>
  </cols>
  <sheetData>
    <row r="1" spans="1:10">
      <c r="A1" t="s">
        <v>64</v>
      </c>
      <c r="B1" t="s">
        <v>2</v>
      </c>
      <c r="C1" t="s">
        <v>21</v>
      </c>
      <c r="D1" t="s">
        <v>65</v>
      </c>
      <c r="E1" t="s">
        <v>22</v>
      </c>
      <c r="F1" t="s">
        <v>23</v>
      </c>
      <c r="G1" t="s">
        <v>24</v>
      </c>
      <c r="H1" t="s">
        <v>66</v>
      </c>
      <c r="I1" t="s">
        <v>67</v>
      </c>
      <c r="J1" t="s">
        <v>68</v>
      </c>
    </row>
    <row r="2" spans="1:10" ht="87">
      <c r="A2" t="s">
        <v>93</v>
      </c>
      <c r="B2" t="s">
        <v>94</v>
      </c>
      <c r="C2" t="s">
        <v>95</v>
      </c>
      <c r="D2" s="4" t="s">
        <v>96</v>
      </c>
      <c r="E2" s="4" t="s">
        <v>97</v>
      </c>
      <c r="F2" s="4" t="s">
        <v>185</v>
      </c>
      <c r="G2" t="s">
        <v>29</v>
      </c>
      <c r="I2" s="4" t="s">
        <v>177</v>
      </c>
    </row>
    <row r="3" spans="1:10" ht="43.5">
      <c r="A3" t="s">
        <v>98</v>
      </c>
      <c r="B3" t="s">
        <v>94</v>
      </c>
      <c r="C3" t="s">
        <v>99</v>
      </c>
      <c r="D3" s="4" t="s">
        <v>100</v>
      </c>
      <c r="E3" s="4" t="s">
        <v>101</v>
      </c>
      <c r="F3" s="4" t="s">
        <v>186</v>
      </c>
      <c r="G3" t="s">
        <v>187</v>
      </c>
      <c r="H3" s="4" t="s">
        <v>219</v>
      </c>
      <c r="I3" s="4" t="s">
        <v>188</v>
      </c>
    </row>
    <row r="4" spans="1:10" ht="101.5">
      <c r="A4" t="s">
        <v>102</v>
      </c>
      <c r="B4" t="s">
        <v>94</v>
      </c>
      <c r="C4" t="s">
        <v>103</v>
      </c>
      <c r="D4" s="4" t="s">
        <v>104</v>
      </c>
      <c r="E4" s="4" t="s">
        <v>105</v>
      </c>
      <c r="F4" s="9" t="s">
        <v>206</v>
      </c>
      <c r="G4" t="s">
        <v>29</v>
      </c>
      <c r="I4" t="s">
        <v>177</v>
      </c>
    </row>
    <row r="5" spans="1:10" ht="87">
      <c r="A5" t="s">
        <v>106</v>
      </c>
      <c r="B5" t="s">
        <v>94</v>
      </c>
      <c r="C5" t="s">
        <v>107</v>
      </c>
      <c r="D5" s="4" t="s">
        <v>108</v>
      </c>
      <c r="E5" s="4" t="s">
        <v>109</v>
      </c>
      <c r="F5" s="4" t="s">
        <v>207</v>
      </c>
      <c r="G5" t="s">
        <v>29</v>
      </c>
      <c r="I5" t="s">
        <v>177</v>
      </c>
    </row>
    <row r="6" spans="1:10" ht="116">
      <c r="A6" t="s">
        <v>110</v>
      </c>
      <c r="B6" t="s">
        <v>94</v>
      </c>
      <c r="C6" t="s">
        <v>111</v>
      </c>
      <c r="D6" s="4" t="s">
        <v>112</v>
      </c>
      <c r="E6" s="4" t="s">
        <v>113</v>
      </c>
      <c r="F6" s="4" t="s">
        <v>208</v>
      </c>
      <c r="G6" t="s">
        <v>187</v>
      </c>
      <c r="H6" s="4" t="s">
        <v>219</v>
      </c>
      <c r="I6" s="4" t="s">
        <v>209</v>
      </c>
    </row>
    <row r="7" spans="1:10" ht="87">
      <c r="A7" t="s">
        <v>114</v>
      </c>
      <c r="B7" t="s">
        <v>94</v>
      </c>
      <c r="C7" t="s">
        <v>115</v>
      </c>
      <c r="D7" s="4" t="s">
        <v>116</v>
      </c>
      <c r="E7" t="s">
        <v>117</v>
      </c>
      <c r="F7" s="4" t="s">
        <v>218</v>
      </c>
      <c r="G7" t="s">
        <v>29</v>
      </c>
      <c r="I7" s="4" t="s">
        <v>177</v>
      </c>
    </row>
    <row r="9" spans="1:10" ht="17.5">
      <c r="D9" s="11" t="s">
        <v>220</v>
      </c>
    </row>
    <row r="10" spans="1:10">
      <c r="D10" s="12"/>
    </row>
    <row r="11" spans="1:10">
      <c r="D11" s="13" t="s">
        <v>221</v>
      </c>
    </row>
    <row r="12" spans="1:10">
      <c r="D12" s="13" t="s">
        <v>222</v>
      </c>
    </row>
    <row r="13" spans="1:10">
      <c r="D13" s="13" t="s">
        <v>223</v>
      </c>
    </row>
    <row r="14" spans="1:10">
      <c r="D14" s="13" t="s">
        <v>224</v>
      </c>
    </row>
    <row r="15" spans="1:10">
      <c r="D15" s="13" t="s">
        <v>225</v>
      </c>
    </row>
    <row r="16" spans="1:10">
      <c r="D16" s="12"/>
    </row>
    <row r="17" spans="4:4">
      <c r="D17" s="13" t="s">
        <v>226</v>
      </c>
    </row>
    <row r="18" spans="4:4">
      <c r="D18" s="12"/>
    </row>
    <row r="19" spans="4:4">
      <c r="D19" s="13" t="s">
        <v>227</v>
      </c>
    </row>
    <row r="20" spans="4:4">
      <c r="D20" s="14"/>
    </row>
    <row r="21" spans="4:4" ht="188.5">
      <c r="D21" s="15" t="s">
        <v>228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B3BE-F638-4812-AF8B-023084C84992}">
  <dimension ref="A1:N3"/>
  <sheetViews>
    <sheetView topLeftCell="L1" workbookViewId="0">
      <selection activeCell="B3" sqref="B3"/>
    </sheetView>
  </sheetViews>
  <sheetFormatPr defaultRowHeight="14.5"/>
  <cols>
    <col min="1" max="1" width="17.36328125" customWidth="1"/>
    <col min="2" max="2" width="17.26953125" customWidth="1"/>
    <col min="3" max="3" width="11.6328125" customWidth="1"/>
    <col min="4" max="4" width="18.08984375" customWidth="1"/>
    <col min="5" max="5" width="26" customWidth="1"/>
    <col min="6" max="6" width="27.6328125" customWidth="1"/>
    <col min="7" max="7" width="23.54296875" customWidth="1"/>
    <col min="8" max="8" width="22.81640625" customWidth="1"/>
    <col min="9" max="9" width="10.54296875" customWidth="1"/>
    <col min="11" max="11" width="9.90625" customWidth="1"/>
    <col min="12" max="12" width="17.1796875" customWidth="1"/>
    <col min="13" max="13" width="16.453125" customWidth="1"/>
    <col min="14" max="14" width="18" customWidth="1"/>
  </cols>
  <sheetData>
    <row r="1" spans="1:14">
      <c r="A1" s="10" t="s">
        <v>67</v>
      </c>
      <c r="B1" s="10" t="s">
        <v>2</v>
      </c>
      <c r="C1" s="10" t="s">
        <v>64</v>
      </c>
      <c r="D1" s="10" t="s">
        <v>189</v>
      </c>
      <c r="E1" s="10" t="s">
        <v>190</v>
      </c>
      <c r="F1" s="10" t="s">
        <v>191</v>
      </c>
      <c r="G1" s="10" t="s">
        <v>22</v>
      </c>
      <c r="H1" s="10" t="s">
        <v>23</v>
      </c>
      <c r="I1" s="10" t="s">
        <v>192</v>
      </c>
      <c r="J1" s="10" t="s">
        <v>193</v>
      </c>
      <c r="K1" s="10" t="s">
        <v>24</v>
      </c>
      <c r="L1" s="10" t="s">
        <v>194</v>
      </c>
      <c r="M1" s="10" t="s">
        <v>4</v>
      </c>
      <c r="N1" s="10" t="s">
        <v>68</v>
      </c>
    </row>
    <row r="2" spans="1:14" ht="87">
      <c r="A2" s="8" t="s">
        <v>205</v>
      </c>
      <c r="B2" s="8" t="s">
        <v>94</v>
      </c>
      <c r="C2" s="8" t="s">
        <v>98</v>
      </c>
      <c r="D2" s="8" t="s">
        <v>195</v>
      </c>
      <c r="E2" s="8" t="s">
        <v>196</v>
      </c>
      <c r="F2" s="8" t="s">
        <v>197</v>
      </c>
      <c r="G2" s="8" t="s">
        <v>198</v>
      </c>
      <c r="H2" s="8" t="s">
        <v>199</v>
      </c>
      <c r="I2" s="8" t="s">
        <v>200</v>
      </c>
      <c r="J2" s="8" t="s">
        <v>200</v>
      </c>
      <c r="K2" s="8" t="s">
        <v>201</v>
      </c>
      <c r="L2" s="8" t="s">
        <v>202</v>
      </c>
      <c r="M2" s="8" t="s">
        <v>203</v>
      </c>
      <c r="N2" s="8" t="s">
        <v>204</v>
      </c>
    </row>
    <row r="3" spans="1:14" ht="130.5">
      <c r="A3" s="8" t="s">
        <v>216</v>
      </c>
      <c r="B3" s="8" t="s">
        <v>94</v>
      </c>
      <c r="C3" s="8" t="s">
        <v>110</v>
      </c>
      <c r="D3" s="8" t="s">
        <v>210</v>
      </c>
      <c r="E3" s="8" t="s">
        <v>211</v>
      </c>
      <c r="F3" s="8" t="s">
        <v>212</v>
      </c>
      <c r="G3" s="8" t="s">
        <v>213</v>
      </c>
      <c r="H3" s="8" t="s">
        <v>214</v>
      </c>
      <c r="I3" s="8" t="s">
        <v>200</v>
      </c>
      <c r="J3" s="8" t="s">
        <v>200</v>
      </c>
      <c r="K3" s="8" t="s">
        <v>217</v>
      </c>
      <c r="M3" s="8" t="s">
        <v>203</v>
      </c>
      <c r="N3" s="8" t="s">
        <v>215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16B1-3FC0-4046-8F00-E1005446045C}">
  <dimension ref="A1:G8"/>
  <sheetViews>
    <sheetView topLeftCell="D1" workbookViewId="0">
      <selection activeCell="D9" sqref="D9"/>
    </sheetView>
  </sheetViews>
  <sheetFormatPr defaultRowHeight="14.5"/>
  <cols>
    <col min="1" max="1" width="14" customWidth="1"/>
    <col min="2" max="2" width="27" customWidth="1"/>
    <col min="3" max="4" width="43" customWidth="1"/>
    <col min="5" max="5" width="50" customWidth="1"/>
    <col min="6" max="6" width="13" customWidth="1"/>
    <col min="7" max="7" width="38" customWidth="1"/>
  </cols>
  <sheetData>
    <row r="1" spans="1:7" ht="18.5">
      <c r="A1" s="23" t="s">
        <v>316</v>
      </c>
      <c r="B1" s="24"/>
      <c r="C1" s="24"/>
      <c r="D1" s="24"/>
      <c r="E1" s="24"/>
      <c r="F1" s="24"/>
      <c r="G1" s="24"/>
    </row>
    <row r="2" spans="1:7">
      <c r="A2" s="19" t="s">
        <v>64</v>
      </c>
      <c r="B2" s="19" t="s">
        <v>21</v>
      </c>
      <c r="C2" s="19" t="s">
        <v>231</v>
      </c>
      <c r="D2" s="19" t="s">
        <v>22</v>
      </c>
      <c r="E2" s="19" t="s">
        <v>23</v>
      </c>
      <c r="F2" s="19" t="s">
        <v>24</v>
      </c>
      <c r="G2" s="19" t="s">
        <v>232</v>
      </c>
    </row>
    <row r="3" spans="1:7" ht="29">
      <c r="A3" s="20" t="s">
        <v>118</v>
      </c>
      <c r="B3" s="20" t="s">
        <v>317</v>
      </c>
      <c r="C3" s="20" t="s">
        <v>318</v>
      </c>
      <c r="D3" s="20" t="s">
        <v>319</v>
      </c>
      <c r="E3" s="20" t="s">
        <v>320</v>
      </c>
      <c r="F3" s="21" t="s">
        <v>29</v>
      </c>
      <c r="G3" s="20" t="s">
        <v>321</v>
      </c>
    </row>
    <row r="4" spans="1:7" ht="29">
      <c r="A4" s="20" t="s">
        <v>119</v>
      </c>
      <c r="B4" s="20" t="s">
        <v>120</v>
      </c>
      <c r="C4" s="20" t="s">
        <v>322</v>
      </c>
      <c r="D4" s="20" t="s">
        <v>323</v>
      </c>
      <c r="E4" s="20" t="s">
        <v>324</v>
      </c>
      <c r="F4" s="21" t="s">
        <v>29</v>
      </c>
      <c r="G4" s="20" t="s">
        <v>325</v>
      </c>
    </row>
    <row r="5" spans="1:7" ht="29">
      <c r="A5" s="20" t="s">
        <v>121</v>
      </c>
      <c r="B5" s="20" t="s">
        <v>326</v>
      </c>
      <c r="C5" s="20" t="s">
        <v>327</v>
      </c>
      <c r="D5" s="20" t="s">
        <v>328</v>
      </c>
      <c r="E5" s="20" t="s">
        <v>329</v>
      </c>
      <c r="F5" s="21" t="s">
        <v>29</v>
      </c>
      <c r="G5" s="20" t="s">
        <v>330</v>
      </c>
    </row>
    <row r="6" spans="1:7" ht="29">
      <c r="A6" s="20" t="s">
        <v>122</v>
      </c>
      <c r="B6" s="20" t="s">
        <v>123</v>
      </c>
      <c r="C6" s="20" t="s">
        <v>331</v>
      </c>
      <c r="D6" s="20" t="s">
        <v>332</v>
      </c>
      <c r="E6" s="20" t="s">
        <v>333</v>
      </c>
      <c r="F6" s="21" t="s">
        <v>29</v>
      </c>
      <c r="G6" s="20" t="s">
        <v>334</v>
      </c>
    </row>
    <row r="7" spans="1:7" ht="29">
      <c r="A7" s="20" t="s">
        <v>124</v>
      </c>
      <c r="B7" s="20" t="s">
        <v>125</v>
      </c>
      <c r="C7" s="20" t="s">
        <v>335</v>
      </c>
      <c r="D7" s="20" t="s">
        <v>336</v>
      </c>
      <c r="E7" s="20" t="s">
        <v>337</v>
      </c>
      <c r="F7" s="21" t="s">
        <v>29</v>
      </c>
      <c r="G7" s="20" t="s">
        <v>338</v>
      </c>
    </row>
    <row r="8" spans="1:7" ht="29">
      <c r="A8" s="20" t="s">
        <v>126</v>
      </c>
      <c r="B8" s="20" t="s">
        <v>127</v>
      </c>
      <c r="C8" s="20" t="s">
        <v>339</v>
      </c>
      <c r="D8" s="20" t="s">
        <v>340</v>
      </c>
      <c r="E8" s="20" t="s">
        <v>341</v>
      </c>
      <c r="F8" s="21" t="s">
        <v>29</v>
      </c>
      <c r="G8" s="20" t="s">
        <v>342</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DAE1-356C-499C-B0CC-8D577F719CCF}">
  <dimension ref="A1:J7"/>
  <sheetViews>
    <sheetView tabSelected="1" topLeftCell="D1" workbookViewId="0">
      <selection activeCell="G6" sqref="G6"/>
    </sheetView>
  </sheetViews>
  <sheetFormatPr defaultRowHeight="14.5"/>
  <cols>
    <col min="1" max="1" width="15.26953125" customWidth="1"/>
    <col min="2" max="2" width="28.36328125" customWidth="1"/>
    <col min="3" max="4" width="43.6328125" customWidth="1"/>
    <col min="5" max="5" width="54.54296875" customWidth="1"/>
    <col min="6" max="6" width="19.6328125" customWidth="1"/>
    <col min="7" max="7" width="48" customWidth="1"/>
    <col min="9" max="10" width="20.7265625" customWidth="1"/>
  </cols>
  <sheetData>
    <row r="1" spans="1:10" ht="18">
      <c r="A1" s="22" t="s">
        <v>264</v>
      </c>
      <c r="B1" s="22"/>
      <c r="C1" s="22"/>
      <c r="D1" s="22"/>
      <c r="E1" s="22"/>
      <c r="F1" s="22"/>
      <c r="G1" s="22"/>
      <c r="I1" s="16" t="s">
        <v>10</v>
      </c>
      <c r="J1" s="16" t="s">
        <v>230</v>
      </c>
    </row>
    <row r="2" spans="1:10">
      <c r="A2" s="17" t="s">
        <v>64</v>
      </c>
      <c r="B2" s="17" t="s">
        <v>21</v>
      </c>
      <c r="C2" s="17" t="s">
        <v>231</v>
      </c>
      <c r="D2" s="17" t="s">
        <v>22</v>
      </c>
      <c r="E2" s="17" t="s">
        <v>23</v>
      </c>
      <c r="F2" s="17" t="s">
        <v>24</v>
      </c>
      <c r="G2" s="17" t="s">
        <v>232</v>
      </c>
      <c r="I2" t="s">
        <v>233</v>
      </c>
      <c r="J2">
        <f>COUNTA(A3:A7)</f>
        <v>5</v>
      </c>
    </row>
    <row r="3" spans="1:10" ht="29">
      <c r="A3" s="8" t="s">
        <v>128</v>
      </c>
      <c r="B3" s="8" t="s">
        <v>265</v>
      </c>
      <c r="C3" s="8" t="s">
        <v>266</v>
      </c>
      <c r="D3" s="8" t="s">
        <v>267</v>
      </c>
      <c r="E3" s="8" t="s">
        <v>268</v>
      </c>
      <c r="F3" s="8" t="s">
        <v>29</v>
      </c>
      <c r="G3" s="8" t="s">
        <v>269</v>
      </c>
      <c r="I3" t="s">
        <v>14</v>
      </c>
      <c r="J3">
        <f>COUNTIF(F3:F7,"PASS")</f>
        <v>4</v>
      </c>
    </row>
    <row r="4" spans="1:10" ht="43.5">
      <c r="A4" s="8" t="s">
        <v>129</v>
      </c>
      <c r="B4" s="8" t="s">
        <v>270</v>
      </c>
      <c r="C4" s="8" t="s">
        <v>271</v>
      </c>
      <c r="D4" s="8" t="s">
        <v>272</v>
      </c>
      <c r="E4" s="8" t="s">
        <v>273</v>
      </c>
      <c r="F4" s="8" t="s">
        <v>187</v>
      </c>
      <c r="G4" s="8" t="s">
        <v>274</v>
      </c>
      <c r="I4" t="s">
        <v>15</v>
      </c>
      <c r="J4">
        <f>COUNTIF(F3:F7,"FAIL")</f>
        <v>1</v>
      </c>
    </row>
    <row r="5" spans="1:10" ht="29">
      <c r="A5" s="8" t="s">
        <v>130</v>
      </c>
      <c r="B5" s="8" t="s">
        <v>275</v>
      </c>
      <c r="C5" s="8" t="s">
        <v>276</v>
      </c>
      <c r="D5" s="8" t="s">
        <v>277</v>
      </c>
      <c r="E5" s="8" t="s">
        <v>376</v>
      </c>
      <c r="F5" s="8" t="s">
        <v>29</v>
      </c>
      <c r="G5" s="8" t="s">
        <v>377</v>
      </c>
      <c r="I5" t="s">
        <v>278</v>
      </c>
      <c r="J5">
        <f>COUNTIF(F3:F7,"NOT FULLY VERIFIED")</f>
        <v>0</v>
      </c>
    </row>
    <row r="6" spans="1:10" ht="43.5">
      <c r="A6" s="8" t="s">
        <v>131</v>
      </c>
      <c r="B6" s="8" t="s">
        <v>132</v>
      </c>
      <c r="C6" s="8" t="s">
        <v>279</v>
      </c>
      <c r="D6" s="8" t="s">
        <v>280</v>
      </c>
      <c r="E6" s="8" t="s">
        <v>281</v>
      </c>
      <c r="F6" s="8" t="s">
        <v>29</v>
      </c>
      <c r="G6" s="8" t="s">
        <v>282</v>
      </c>
    </row>
    <row r="7" spans="1:10" ht="29">
      <c r="A7" s="8" t="s">
        <v>133</v>
      </c>
      <c r="B7" s="8" t="s">
        <v>283</v>
      </c>
      <c r="C7" s="8" t="s">
        <v>284</v>
      </c>
      <c r="D7" s="8" t="s">
        <v>285</v>
      </c>
      <c r="E7" s="8" t="s">
        <v>286</v>
      </c>
      <c r="F7" s="8" t="s">
        <v>29</v>
      </c>
      <c r="G7" s="8" t="s">
        <v>287</v>
      </c>
    </row>
  </sheetData>
  <mergeCells count="1">
    <mergeCell ref="A1:G1"/>
  </mergeCells>
  <conditionalFormatting sqref="F3:F7">
    <cfRule type="expression" dxfId="9" priority="1">
      <formula>F3="PASS"</formula>
    </cfRule>
    <cfRule type="expression" dxfId="8" priority="2">
      <formula>F3="FAIL"</formula>
    </cfRule>
    <cfRule type="expression" dxfId="7" priority="3">
      <formula>F3="NOT FULLY VERIFIED"</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A9B9-902C-466E-8808-FD672DC1E8B7}">
  <dimension ref="A1:J9"/>
  <sheetViews>
    <sheetView topLeftCell="F1" workbookViewId="0">
      <selection activeCell="G7" sqref="G7"/>
    </sheetView>
  </sheetViews>
  <sheetFormatPr defaultRowHeight="14.5"/>
  <cols>
    <col min="1" max="1" width="15.26953125" customWidth="1"/>
    <col min="2" max="2" width="26.1796875" customWidth="1"/>
    <col min="3" max="4" width="41.453125" customWidth="1"/>
    <col min="5" max="5" width="52.36328125" customWidth="1"/>
    <col min="6" max="6" width="13.08984375" customWidth="1"/>
    <col min="7" max="7" width="45.81640625" customWidth="1"/>
    <col min="9" max="10" width="17.453125" customWidth="1"/>
  </cols>
  <sheetData>
    <row r="1" spans="1:10" ht="18">
      <c r="A1" s="22" t="s">
        <v>229</v>
      </c>
      <c r="B1" s="22"/>
      <c r="C1" s="22"/>
      <c r="D1" s="22"/>
      <c r="E1" s="22"/>
      <c r="F1" s="22"/>
      <c r="G1" s="22"/>
      <c r="I1" s="16" t="s">
        <v>10</v>
      </c>
      <c r="J1" s="16" t="s">
        <v>230</v>
      </c>
    </row>
    <row r="2" spans="1:10">
      <c r="A2" s="17" t="s">
        <v>64</v>
      </c>
      <c r="B2" s="17" t="s">
        <v>21</v>
      </c>
      <c r="C2" s="17" t="s">
        <v>231</v>
      </c>
      <c r="D2" s="17" t="s">
        <v>22</v>
      </c>
      <c r="E2" s="17" t="s">
        <v>23</v>
      </c>
      <c r="F2" s="17" t="s">
        <v>24</v>
      </c>
      <c r="G2" s="17" t="s">
        <v>232</v>
      </c>
      <c r="I2" t="s">
        <v>233</v>
      </c>
      <c r="J2">
        <f>COUNTA(A3:A9)</f>
        <v>7</v>
      </c>
    </row>
    <row r="3" spans="1:10" ht="29">
      <c r="A3" s="8" t="s">
        <v>134</v>
      </c>
      <c r="B3" s="8" t="s">
        <v>234</v>
      </c>
      <c r="C3" s="8" t="s">
        <v>235</v>
      </c>
      <c r="D3" s="8" t="s">
        <v>236</v>
      </c>
      <c r="E3" s="8" t="s">
        <v>237</v>
      </c>
      <c r="F3" s="8" t="s">
        <v>29</v>
      </c>
      <c r="G3" s="8"/>
      <c r="I3" t="s">
        <v>14</v>
      </c>
      <c r="J3">
        <f>COUNTIF(F3:F9,"PASS")</f>
        <v>6</v>
      </c>
    </row>
    <row r="4" spans="1:10" ht="43.5">
      <c r="A4" s="8" t="s">
        <v>135</v>
      </c>
      <c r="B4" s="8" t="s">
        <v>238</v>
      </c>
      <c r="C4" s="8" t="s">
        <v>239</v>
      </c>
      <c r="D4" s="8" t="s">
        <v>240</v>
      </c>
      <c r="E4" s="8" t="s">
        <v>241</v>
      </c>
      <c r="F4" s="8" t="s">
        <v>29</v>
      </c>
      <c r="G4" s="8"/>
      <c r="I4" t="s">
        <v>15</v>
      </c>
      <c r="J4">
        <f>COUNTIF(F3:F9,"FAIL")</f>
        <v>1</v>
      </c>
    </row>
    <row r="5" spans="1:10" ht="58">
      <c r="A5" s="8" t="s">
        <v>136</v>
      </c>
      <c r="B5" s="8" t="s">
        <v>137</v>
      </c>
      <c r="C5" s="8" t="s">
        <v>242</v>
      </c>
      <c r="D5" s="8" t="s">
        <v>243</v>
      </c>
      <c r="E5" s="8" t="s">
        <v>244</v>
      </c>
      <c r="F5" s="8" t="s">
        <v>187</v>
      </c>
      <c r="G5" s="8" t="s">
        <v>245</v>
      </c>
    </row>
    <row r="6" spans="1:10" ht="29">
      <c r="A6" s="8" t="s">
        <v>138</v>
      </c>
      <c r="B6" s="8" t="s">
        <v>246</v>
      </c>
      <c r="C6" s="8" t="s">
        <v>247</v>
      </c>
      <c r="D6" s="8" t="s">
        <v>248</v>
      </c>
      <c r="E6" s="8" t="s">
        <v>249</v>
      </c>
      <c r="F6" s="8" t="s">
        <v>29</v>
      </c>
      <c r="G6" s="8"/>
    </row>
    <row r="7" spans="1:10" ht="29">
      <c r="A7" s="8" t="s">
        <v>139</v>
      </c>
      <c r="B7" s="8" t="s">
        <v>250</v>
      </c>
      <c r="C7" s="8" t="s">
        <v>251</v>
      </c>
      <c r="D7" s="8" t="s">
        <v>252</v>
      </c>
      <c r="E7" s="8" t="s">
        <v>253</v>
      </c>
      <c r="F7" s="8" t="s">
        <v>29</v>
      </c>
      <c r="G7" s="8" t="s">
        <v>254</v>
      </c>
    </row>
    <row r="8" spans="1:10" ht="43.5">
      <c r="A8" s="8" t="s">
        <v>140</v>
      </c>
      <c r="B8" s="8" t="s">
        <v>255</v>
      </c>
      <c r="C8" s="8" t="s">
        <v>256</v>
      </c>
      <c r="D8" s="8" t="s">
        <v>257</v>
      </c>
      <c r="E8" s="8" t="s">
        <v>258</v>
      </c>
      <c r="F8" s="8" t="s">
        <v>29</v>
      </c>
      <c r="G8" s="8"/>
    </row>
    <row r="9" spans="1:10" ht="29">
      <c r="A9" s="8" t="s">
        <v>141</v>
      </c>
      <c r="B9" s="8" t="s">
        <v>259</v>
      </c>
      <c r="C9" s="8" t="s">
        <v>260</v>
      </c>
      <c r="D9" s="8" t="s">
        <v>261</v>
      </c>
      <c r="E9" s="8" t="s">
        <v>262</v>
      </c>
      <c r="F9" s="8" t="s">
        <v>29</v>
      </c>
      <c r="G9" s="8" t="s">
        <v>263</v>
      </c>
    </row>
  </sheetData>
  <mergeCells count="1">
    <mergeCell ref="A1:G1"/>
  </mergeCells>
  <conditionalFormatting sqref="F3:F9">
    <cfRule type="expression" dxfId="6" priority="1">
      <formula>F3="PASS"</formula>
    </cfRule>
    <cfRule type="expression" dxfId="5" priority="2">
      <formula>F3="FAIL"</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9341-FEEE-4552-ACFB-158EB2F1CE56}">
  <dimension ref="A1:H8"/>
  <sheetViews>
    <sheetView topLeftCell="D1" workbookViewId="0">
      <selection activeCell="E14" sqref="E14"/>
    </sheetView>
  </sheetViews>
  <sheetFormatPr defaultRowHeight="14.5"/>
  <cols>
    <col min="1" max="1" width="14.1796875" customWidth="1"/>
    <col min="2" max="2" width="13.08984375" customWidth="1"/>
    <col min="3" max="3" width="25.08984375" customWidth="1"/>
    <col min="4" max="5" width="41.453125" customWidth="1"/>
    <col min="6" max="6" width="49.08984375" customWidth="1"/>
    <col min="7" max="7" width="13.08984375" customWidth="1"/>
    <col min="8" max="8" width="30.54296875" customWidth="1"/>
  </cols>
  <sheetData>
    <row r="1" spans="1:8" ht="20">
      <c r="A1" s="25" t="s">
        <v>288</v>
      </c>
      <c r="B1" s="25"/>
      <c r="C1" s="25"/>
      <c r="D1" s="25"/>
      <c r="E1" s="25"/>
      <c r="F1" s="25"/>
      <c r="G1" s="25"/>
      <c r="H1" s="25"/>
    </row>
    <row r="2" spans="1:8">
      <c r="A2" s="26" t="s">
        <v>289</v>
      </c>
      <c r="B2" s="26"/>
      <c r="C2" s="26"/>
      <c r="D2" s="26"/>
      <c r="E2" s="26"/>
      <c r="F2" s="26"/>
      <c r="G2" s="26"/>
      <c r="H2" s="26"/>
    </row>
    <row r="3" spans="1:8">
      <c r="A3" s="18" t="s">
        <v>64</v>
      </c>
      <c r="B3" s="18" t="s">
        <v>2</v>
      </c>
      <c r="C3" s="18" t="s">
        <v>21</v>
      </c>
      <c r="D3" s="18" t="s">
        <v>65</v>
      </c>
      <c r="E3" s="18" t="s">
        <v>22</v>
      </c>
      <c r="F3" s="18" t="s">
        <v>23</v>
      </c>
      <c r="G3" s="18" t="s">
        <v>24</v>
      </c>
      <c r="H3" s="18" t="s">
        <v>290</v>
      </c>
    </row>
    <row r="4" spans="1:8" ht="43.5">
      <c r="A4" s="8" t="s">
        <v>142</v>
      </c>
      <c r="B4" s="8" t="s">
        <v>143</v>
      </c>
      <c r="C4" s="8" t="s">
        <v>291</v>
      </c>
      <c r="D4" s="8" t="s">
        <v>292</v>
      </c>
      <c r="E4" s="8" t="s">
        <v>293</v>
      </c>
      <c r="F4" s="8" t="s">
        <v>294</v>
      </c>
      <c r="G4" s="8" t="s">
        <v>29</v>
      </c>
      <c r="H4" s="8" t="s">
        <v>295</v>
      </c>
    </row>
    <row r="5" spans="1:8" ht="43.5">
      <c r="A5" s="8" t="s">
        <v>144</v>
      </c>
      <c r="B5" s="8" t="s">
        <v>143</v>
      </c>
      <c r="C5" s="8" t="s">
        <v>296</v>
      </c>
      <c r="D5" s="8" t="s">
        <v>297</v>
      </c>
      <c r="E5" s="8" t="s">
        <v>298</v>
      </c>
      <c r="F5" s="8" t="s">
        <v>299</v>
      </c>
      <c r="G5" s="8" t="s">
        <v>29</v>
      </c>
      <c r="H5" s="8" t="s">
        <v>300</v>
      </c>
    </row>
    <row r="6" spans="1:8" ht="58">
      <c r="A6" s="8" t="s">
        <v>145</v>
      </c>
      <c r="B6" s="8" t="s">
        <v>143</v>
      </c>
      <c r="C6" s="8" t="s">
        <v>301</v>
      </c>
      <c r="D6" s="8" t="s">
        <v>302</v>
      </c>
      <c r="E6" s="8" t="s">
        <v>303</v>
      </c>
      <c r="F6" s="8" t="s">
        <v>304</v>
      </c>
      <c r="G6" s="8" t="s">
        <v>29</v>
      </c>
      <c r="H6" s="8" t="s">
        <v>305</v>
      </c>
    </row>
    <row r="7" spans="1:8" ht="43.5">
      <c r="A7" s="8" t="s">
        <v>146</v>
      </c>
      <c r="B7" s="8" t="s">
        <v>143</v>
      </c>
      <c r="C7" s="8" t="s">
        <v>306</v>
      </c>
      <c r="D7" s="8" t="s">
        <v>307</v>
      </c>
      <c r="E7" s="8" t="s">
        <v>308</v>
      </c>
      <c r="F7" s="8" t="s">
        <v>309</v>
      </c>
      <c r="G7" s="8" t="s">
        <v>29</v>
      </c>
      <c r="H7" s="8" t="s">
        <v>310</v>
      </c>
    </row>
    <row r="8" spans="1:8" ht="58">
      <c r="A8" s="8" t="s">
        <v>147</v>
      </c>
      <c r="B8" s="8" t="s">
        <v>143</v>
      </c>
      <c r="C8" s="8" t="s">
        <v>311</v>
      </c>
      <c r="D8" s="8" t="s">
        <v>312</v>
      </c>
      <c r="E8" s="8" t="s">
        <v>313</v>
      </c>
      <c r="F8" s="8" t="s">
        <v>314</v>
      </c>
      <c r="G8" s="8" t="s">
        <v>29</v>
      </c>
      <c r="H8" s="8" t="s">
        <v>315</v>
      </c>
    </row>
  </sheetData>
  <mergeCells count="2">
    <mergeCell ref="A1:H1"/>
    <mergeCell ref="A2:H2"/>
  </mergeCells>
  <conditionalFormatting sqref="G4:G8">
    <cfRule type="expression" dxfId="4" priority="1">
      <formula>G4="PASS"</formula>
    </cfRule>
    <cfRule type="expression" dxfId="3" priority="2">
      <formula>G4="FAIL"</formula>
    </cfRule>
  </conditionalFormatting>
  <dataValidations count="1">
    <dataValidation type="list" sqref="G4:G8" xr:uid="{C8197CE7-BBAE-4250-A20B-B292FBFE4E00}">
      <formula1>"PASS,FAIL,BLOCKED,NOT RUN"</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C3BC7-A708-4AE2-94BE-A823883787DC}">
  <dimension ref="A1:G8"/>
  <sheetViews>
    <sheetView topLeftCell="E1" workbookViewId="0">
      <selection activeCell="G10" sqref="G10"/>
    </sheetView>
  </sheetViews>
  <sheetFormatPr defaultRowHeight="14.5"/>
  <cols>
    <col min="1" max="1" width="15.26953125" customWidth="1"/>
    <col min="2" max="2" width="27.26953125" customWidth="1"/>
    <col min="3" max="3" width="48" customWidth="1"/>
    <col min="4" max="4" width="45.81640625" customWidth="1"/>
    <col min="5" max="5" width="63.26953125" customWidth="1"/>
    <col min="6" max="6" width="21.81640625" customWidth="1"/>
    <col min="7" max="7" width="45.81640625" customWidth="1"/>
  </cols>
  <sheetData>
    <row r="1" spans="1:7">
      <c r="A1" s="18" t="s">
        <v>64</v>
      </c>
      <c r="B1" s="18" t="s">
        <v>21</v>
      </c>
      <c r="C1" s="18" t="s">
        <v>231</v>
      </c>
      <c r="D1" s="18" t="s">
        <v>22</v>
      </c>
      <c r="E1" s="18" t="s">
        <v>23</v>
      </c>
      <c r="F1" s="18" t="s">
        <v>24</v>
      </c>
      <c r="G1" s="18" t="s">
        <v>232</v>
      </c>
    </row>
    <row r="2" spans="1:7" ht="29">
      <c r="A2" s="8" t="s">
        <v>148</v>
      </c>
      <c r="B2" s="8" t="s">
        <v>343</v>
      </c>
      <c r="C2" s="8" t="s">
        <v>344</v>
      </c>
      <c r="D2" s="8" t="s">
        <v>345</v>
      </c>
      <c r="E2" s="8" t="s">
        <v>346</v>
      </c>
      <c r="F2" s="8" t="s">
        <v>29</v>
      </c>
      <c r="G2" s="8" t="s">
        <v>347</v>
      </c>
    </row>
    <row r="3" spans="1:7" ht="29">
      <c r="A3" s="8" t="s">
        <v>149</v>
      </c>
      <c r="B3" s="8" t="s">
        <v>150</v>
      </c>
      <c r="C3" s="8" t="s">
        <v>348</v>
      </c>
      <c r="D3" s="8" t="s">
        <v>349</v>
      </c>
      <c r="E3" s="8" t="s">
        <v>350</v>
      </c>
      <c r="F3" s="8" t="s">
        <v>29</v>
      </c>
      <c r="G3" s="8" t="s">
        <v>351</v>
      </c>
    </row>
    <row r="4" spans="1:7" ht="29">
      <c r="A4" s="8" t="s">
        <v>151</v>
      </c>
      <c r="B4" s="8" t="s">
        <v>152</v>
      </c>
      <c r="C4" s="8" t="s">
        <v>352</v>
      </c>
      <c r="D4" s="8" t="s">
        <v>353</v>
      </c>
      <c r="E4" s="8" t="s">
        <v>354</v>
      </c>
      <c r="F4" s="8" t="s">
        <v>29</v>
      </c>
      <c r="G4" s="8" t="s">
        <v>355</v>
      </c>
    </row>
    <row r="5" spans="1:7" ht="29">
      <c r="A5" s="8" t="s">
        <v>153</v>
      </c>
      <c r="B5" s="8" t="s">
        <v>356</v>
      </c>
      <c r="C5" s="8" t="s">
        <v>357</v>
      </c>
      <c r="D5" s="8" t="s">
        <v>358</v>
      </c>
      <c r="E5" s="8" t="s">
        <v>359</v>
      </c>
      <c r="F5" s="8" t="s">
        <v>29</v>
      </c>
      <c r="G5" s="8" t="s">
        <v>360</v>
      </c>
    </row>
    <row r="6" spans="1:7" ht="29">
      <c r="A6" s="8" t="s">
        <v>154</v>
      </c>
      <c r="B6" s="8" t="s">
        <v>361</v>
      </c>
      <c r="C6" s="8" t="s">
        <v>362</v>
      </c>
      <c r="D6" s="8" t="s">
        <v>363</v>
      </c>
      <c r="E6" s="8" t="s">
        <v>364</v>
      </c>
      <c r="F6" s="8" t="s">
        <v>29</v>
      </c>
      <c r="G6" s="8" t="s">
        <v>365</v>
      </c>
    </row>
    <row r="7" spans="1:7" ht="43.5">
      <c r="A7" s="8" t="s">
        <v>156</v>
      </c>
      <c r="B7" s="8" t="s">
        <v>366</v>
      </c>
      <c r="C7" s="8" t="s">
        <v>367</v>
      </c>
      <c r="D7" s="8" t="s">
        <v>368</v>
      </c>
      <c r="E7" s="8" t="s">
        <v>369</v>
      </c>
      <c r="F7" s="8" t="s">
        <v>370</v>
      </c>
      <c r="G7" s="8" t="s">
        <v>371</v>
      </c>
    </row>
    <row r="8" spans="1:7" ht="43.5">
      <c r="A8" s="8" t="s">
        <v>157</v>
      </c>
      <c r="B8" s="8" t="s">
        <v>158</v>
      </c>
      <c r="C8" s="8" t="s">
        <v>372</v>
      </c>
      <c r="D8" s="8" t="s">
        <v>373</v>
      </c>
      <c r="E8" s="8" t="s">
        <v>374</v>
      </c>
      <c r="F8" s="8" t="s">
        <v>29</v>
      </c>
      <c r="G8" s="8" t="s">
        <v>375</v>
      </c>
    </row>
  </sheetData>
  <conditionalFormatting sqref="F2:F8">
    <cfRule type="expression" dxfId="2" priority="1">
      <formula>F2="PASS"</formula>
    </cfRule>
    <cfRule type="expression" dxfId="1" priority="2">
      <formula>F2="FAIL"</formula>
    </cfRule>
    <cfRule type="expression" dxfId="0" priority="3">
      <formula>F2="BLOCKED / NOT TESTED"</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B1D37-6261-403A-A9A3-84FC308E8FC4}">
  <dimension ref="A1:J5"/>
  <sheetViews>
    <sheetView topLeftCell="A6" workbookViewId="0">
      <selection activeCell="N2" sqref="N2"/>
    </sheetView>
  </sheetViews>
  <sheetFormatPr defaultRowHeight="14.5"/>
  <sheetData>
    <row r="1" spans="1:10" ht="58">
      <c r="A1" s="7" t="s">
        <v>64</v>
      </c>
      <c r="B1" s="7" t="s">
        <v>2</v>
      </c>
      <c r="C1" s="7" t="s">
        <v>21</v>
      </c>
      <c r="D1" s="7" t="s">
        <v>65</v>
      </c>
      <c r="E1" s="7" t="s">
        <v>22</v>
      </c>
      <c r="F1" s="7" t="s">
        <v>23</v>
      </c>
      <c r="G1" s="7" t="s">
        <v>24</v>
      </c>
      <c r="H1" s="7" t="s">
        <v>66</v>
      </c>
      <c r="I1" s="7" t="s">
        <v>67</v>
      </c>
      <c r="J1" s="7" t="s">
        <v>68</v>
      </c>
    </row>
    <row r="2" spans="1:10" ht="130.5">
      <c r="A2" s="8" t="s">
        <v>159</v>
      </c>
      <c r="B2" s="8" t="s">
        <v>160</v>
      </c>
      <c r="C2" s="8" t="s">
        <v>161</v>
      </c>
      <c r="D2" s="8" t="s">
        <v>162</v>
      </c>
      <c r="E2" s="8" t="s">
        <v>163</v>
      </c>
      <c r="F2" s="8"/>
      <c r="G2" s="8" t="s">
        <v>74</v>
      </c>
      <c r="H2" s="8"/>
      <c r="I2" s="8"/>
      <c r="J2" s="8" t="s">
        <v>155</v>
      </c>
    </row>
    <row r="3" spans="1:10" ht="130.5">
      <c r="A3" s="8" t="s">
        <v>164</v>
      </c>
      <c r="B3" s="8" t="s">
        <v>160</v>
      </c>
      <c r="C3" s="8" t="s">
        <v>165</v>
      </c>
      <c r="D3" s="8" t="s">
        <v>166</v>
      </c>
      <c r="E3" s="8" t="s">
        <v>167</v>
      </c>
      <c r="F3" s="8"/>
      <c r="G3" s="8" t="s">
        <v>74</v>
      </c>
      <c r="H3" s="8"/>
      <c r="I3" s="8"/>
      <c r="J3" s="8" t="s">
        <v>155</v>
      </c>
    </row>
    <row r="4" spans="1:10" ht="145">
      <c r="A4" s="8" t="s">
        <v>168</v>
      </c>
      <c r="B4" s="8" t="s">
        <v>160</v>
      </c>
      <c r="C4" s="8" t="s">
        <v>169</v>
      </c>
      <c r="D4" s="8" t="s">
        <v>170</v>
      </c>
      <c r="E4" s="8" t="s">
        <v>171</v>
      </c>
      <c r="F4" s="8"/>
      <c r="G4" s="8" t="s">
        <v>74</v>
      </c>
      <c r="H4" s="8"/>
      <c r="I4" s="8"/>
      <c r="J4" s="8" t="s">
        <v>155</v>
      </c>
    </row>
    <row r="5" spans="1:10" ht="116">
      <c r="A5" s="8" t="s">
        <v>172</v>
      </c>
      <c r="B5" s="8" t="s">
        <v>160</v>
      </c>
      <c r="C5" s="8" t="s">
        <v>173</v>
      </c>
      <c r="D5" s="8" t="s">
        <v>174</v>
      </c>
      <c r="E5" s="8" t="s">
        <v>175</v>
      </c>
      <c r="F5" s="8"/>
      <c r="G5" s="8" t="s">
        <v>74</v>
      </c>
      <c r="H5" s="8"/>
      <c r="I5" s="8"/>
      <c r="J5"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AUTH UAT Report</vt:lpstr>
      <vt:lpstr>Catalog and Search</vt:lpstr>
      <vt:lpstr>Cart and delivery slot</vt:lpstr>
      <vt:lpstr>Bug report</vt:lpstr>
      <vt:lpstr>Checkout and minimum order</vt:lpstr>
      <vt:lpstr>Payment</vt:lpstr>
      <vt:lpstr>Supplier</vt:lpstr>
      <vt:lpstr>Admin</vt:lpstr>
      <vt:lpstr>Public pages and feedlog</vt:lpstr>
      <vt:lpstr>staging Go live (ops)</vt:lpstr>
      <vt:lpstr>'AUTH UAT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KERSIE K</cp:lastModifiedBy>
  <cp:lastPrinted>2026-08-06T23:59:12Z</cp:lastPrinted>
  <dcterms:created xsi:type="dcterms:W3CDTF">2026-08-06T23:45:16Z</dcterms:created>
  <dcterms:modified xsi:type="dcterms:W3CDTF">2026-08-16T23:18:29Z</dcterms:modified>
</cp:coreProperties>
</file>