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B7480BB2-D4FA-4818-819A-C99F2858E8B5}" xr6:coauthVersionLast="47" xr6:coauthVersionMax="47" xr10:uidLastSave="{00000000-0000-0000-0000-000000000000}"/>
  <bookViews>
    <workbookView xWindow="-110" yWindow="-110" windowWidth="19420" windowHeight="10300" firstSheet="3" activeTab="7"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 sheetId="13" r:id="rId6"/>
    <sheet name="Supplier" sheetId="12" r:id="rId7"/>
    <sheet name="Admin" sheetId="8" r:id="rId8"/>
    <sheet name="Public pages and feedlog" sheetId="9" r:id="rId9"/>
    <sheet name="staging Go live (ops)" sheetId="10" r:id="rId10"/>
  </sheets>
  <definedNames>
    <definedName name="_xlnm.Print_Area" localSheetId="0">'AUTH UAT Report'!$A$1:$E$29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3" l="1"/>
  <c r="J4" i="13"/>
  <c r="J3" i="13"/>
  <c r="J2" i="13"/>
  <c r="J4" i="12"/>
  <c r="J3" i="12"/>
  <c r="J2" i="12"/>
</calcChain>
</file>

<file path=xl/sharedStrings.xml><?xml version="1.0" encoding="utf-8"?>
<sst xmlns="http://schemas.openxmlformats.org/spreadsheetml/2006/main" count="540" uniqueCount="379">
  <si>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</si>
  <si>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</si>
  <si>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</si>
  <si>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</si>
  <si>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</si>
  <si>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</si>
  <si>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</si>
  <si>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</si>
  <si>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</si>
  <si>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</si>
  <si>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</si>
  <si>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</si>
  <si>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</si>
  <si>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</si>
  <si>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</si>
  <si>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</si>
  <si>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</si>
  <si>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</si>
  <si>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</si>
  <si>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</si>
  <si>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</si>
  <si>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</si>
  <si>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</si>
  <si>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</si>
  <si>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</si>
  <si>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</si>
  <si>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</si>
  <si>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</si>
  <si>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</si>
  <si>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</si>
  <si>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</si>
  <si>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</si>
  <si>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</si>
  <si>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</si>
  <si>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</si>
  <si>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</si>
  <si>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</si>
  <si>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</si>
  <si>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</si>
  <si>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</si>
  <si>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</si>
  <si>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</si>
  <si>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</si>
  <si>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</si>
  <si>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</si>
  <si>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</si>
  <si>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</si>
  <si>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</si>
  <si>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</si>
  <si>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</si>
  <si>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</si>
  <si>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</si>
  <si>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</si>
  <si>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</si>
  <si>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</si>
  <si>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</si>
  <si>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</si>
  <si>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</si>
  <si>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</si>
  <si>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</si>
  <si>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</si>
  <si>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</si>
  <si>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</si>
  <si>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</si>
  <si>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</si>
  <si>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</si>
  <si>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</si>
  <si>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</si>
  <si>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</si>
  <si>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</si>
  <si>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</si>
  <si>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</si>
  <si>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</si>
  <si>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</si>
  <si>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</si>
  <si>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</si>
  <si>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</si>
  <si>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</si>
  <si>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</si>
  <si>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</si>
  <si>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</si>
  <si>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</si>
  <si>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</si>
  <si>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</si>
  <si>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</si>
  <si>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</si>
  <si>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</si>
  <si>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</si>
  <si>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</si>
  <si>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</si>
  <si>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</si>
  <si>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</si>
  <si>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</si>
  <si>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</si>
  <si>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</si>
  <si>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</si>
  <si>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</si>
  <si>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</si>
  <si>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</si>
  <si>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</si>
  <si>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</si>
  <si>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</si>
  <si>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</si>
  <si>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</si>
  <si>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</si>
  <si>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</si>
  <si>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</si>
  <si>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</si>
  <si>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</si>
  <si>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</si>
  <si>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</si>
  <si>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</si>
  <si>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</si>
  <si>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</si>
  <si>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</si>
  <si>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</si>
  <si>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</si>
  <si>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</si>
  <si>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</si>
  <si>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CHK-02</t>
  </si>
  <si>
    <t>Delivery at minimum</t>
  </si>
  <si>
    <t>CHK-03</t>
  </si>
  <si>
    <t>CHK-04</t>
  </si>
  <si>
    <t>Pickup at minimum</t>
  </si>
  <si>
    <t>CHK-05</t>
  </si>
  <si>
    <t>Required fields</t>
  </si>
  <si>
    <t>CHK-06</t>
  </si>
  <si>
    <t>Guest blocked</t>
  </si>
  <si>
    <t>PAY-01</t>
  </si>
  <si>
    <t>PAY-02</t>
  </si>
  <si>
    <t>PAY-03</t>
  </si>
  <si>
    <t>PAY-04</t>
  </si>
  <si>
    <t>Webhook</t>
  </si>
  <si>
    <t>PAY-05</t>
  </si>
  <si>
    <t>SUP-01</t>
  </si>
  <si>
    <t>SUP-02</t>
  </si>
  <si>
    <t>SUP-03</t>
  </si>
  <si>
    <t>Product CRUD</t>
  </si>
  <si>
    <t>SUP-04</t>
  </si>
  <si>
    <t>SUP-05</t>
  </si>
  <si>
    <t>SUP-06</t>
  </si>
  <si>
    <t>SUP-07</t>
  </si>
  <si>
    <t>ADM-01</t>
  </si>
  <si>
    <t>Admin</t>
  </si>
  <si>
    <t>ADM-02</t>
  </si>
  <si>
    <t>ADM-03</t>
  </si>
  <si>
    <t>ADM-04</t>
  </si>
  <si>
    <t>ADM-05</t>
  </si>
  <si>
    <t>PUB-01</t>
  </si>
  <si>
    <t>PUB-02</t>
  </si>
  <si>
    <t>About / Contact</t>
  </si>
  <si>
    <t>PUB-03</t>
  </si>
  <si>
    <t>Footer links</t>
  </si>
  <si>
    <t>PUB-04</t>
  </si>
  <si>
    <t>PUB-05</t>
  </si>
  <si>
    <t>May require environment, API, terminal or developer access.</t>
  </si>
  <si>
    <t>PUB-06</t>
  </si>
  <si>
    <t>PUB-07</t>
  </si>
  <si>
    <t>Dashboard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</si>
  <si>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</si>
  <si>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</si>
  <si>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</si>
  <si>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</si>
  <si>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</si>
  <si>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</si>
  <si>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</si>
  <si>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</si>
  <si>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</si>
  <si>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</si>
  <si>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</si>
  <si>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</si>
  <si>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</si>
  <si>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</si>
  <si>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</si>
  <si>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</si>
  <si>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</si>
  <si>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</si>
  <si>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</si>
  <si>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</si>
  <si>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</si>
  <si>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</si>
  <si>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</si>
  <si>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</si>
  <si>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</si>
  <si>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</si>
  <si>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</si>
  <si>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</si>
  <si>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</si>
  <si>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</si>
  <si>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</si>
  <si>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</si>
  <si>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</si>
  <si>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</si>
  <si>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</si>
  <si>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</si>
  <si>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</si>
  <si>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</si>
  <si>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</si>
  <si>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</si>
  <si>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</si>
  <si>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</si>
  <si>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</si>
  <si>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</si>
  <si>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</si>
  <si>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</si>
  <si>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</si>
  <si>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</si>
  <si>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</si>
  <si>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</si>
  <si>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</si>
  <si>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</si>
  <si>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</si>
  <si>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</si>
  <si>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</si>
  <si>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</si>
  <si>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</si>
  <si>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</si>
  <si>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</si>
  <si>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</si>
  <si>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</si>
  <si>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</si>
  <si>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</si>
  <si>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</si>
  <si>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</si>
  <si>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</si>
  <si>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</si>
  <si>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</si>
  <si>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</si>
  <si>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</si>
  <si>
    <t>DOVA CHAIN – SUPPLIER MODULE TEST EXECUTION RESULTS</t>
  </si>
  <si>
    <t>Count</t>
  </si>
  <si>
    <t>Test Steps / Scope</t>
  </si>
  <si>
    <t>Notes / Defect</t>
  </si>
  <si>
    <t>Total Tests</t>
  </si>
  <si>
    <t>Supplier Registration</t>
  </si>
  <si>
    <t>Register through /auth/supplier-register and submit required details/documents.</t>
  </si>
  <si>
    <t>Supplier registration is created with Pending status.</t>
  </si>
  <si>
    <t>Supplier registration flow was exercised; supplier required approval before normal supplier access.</t>
  </si>
  <si>
    <t>Pending Dashboard / Access Before Approval</t>
  </si>
  <si>
    <t>Attempt supplier access before approval.</t>
  </si>
  <si>
    <t>Supplier should have limited access or receive a pending/restricted message until approved.</t>
  </si>
  <si>
    <t>Supplier access was restricted before approval. Supplier access worked after using approved/provided supplier credentials.</t>
  </si>
  <si>
    <t>Add a product, edit product details, verify catalog reflection, and remove the product.</t>
  </si>
  <si>
    <t>Supplier can add/edit/delete products and changes are reflected in the catalog when active.</t>
  </si>
  <si>
    <t>Product was added and edited successfully and changes appeared in the customer catalog. A removed product remained visible/inconsistent in supplier views after deletion.</t>
  </si>
  <si>
    <t>Defect: deleted product remained visible/inconsistent after removal.</t>
  </si>
  <si>
    <t>Image Upload</t>
  </si>
  <si>
    <t>Upload a product image in an allowed format (JPG/PNG/WEBP, max 5 MB).</t>
  </si>
  <si>
    <t>Image is stored and displayed with the product.</t>
  </si>
  <si>
    <t>A JPEG image was selected/uploaded during product creation and the product image displayed in the catalog.</t>
  </si>
  <si>
    <t>Stock Adjust</t>
  </si>
  <si>
    <t>Use +Stock and -Stock controls to restock/damage-adjust inventory.</t>
  </si>
  <si>
    <t>Stock history/quantity is updated correctly.</t>
  </si>
  <si>
    <t>Stock increased from 1000 to 1001 using +Stock, then decreased from 1001 to 1000 using -Stock.</t>
  </si>
  <si>
    <t>Quantity adjustment behaved correctly. Stock-history audit trail itself was not separately evidenced.</t>
  </si>
  <si>
    <t>Fulfillment</t>
  </si>
  <si>
    <t>Progress an order through its available fulfillment statuses.</t>
  </si>
  <si>
    <t>Only valid transitions are allowed: Pending/Paid → Processing → Shipped → Delivered.</t>
  </si>
  <si>
    <t>Order progressed sequentially from Pending → Processing → Shipped → Delivered. At each stage, the next valid status was presented.</t>
  </si>
  <si>
    <t>Stock on Purchase</t>
  </si>
  <si>
    <t>Record supplier stock, purchase product as customer, then recheck supplier stock.</t>
  </si>
  <si>
    <t>Supplier stock decreases by the quantity purchased.</t>
  </si>
  <si>
    <t>Black Beans stock decreased from 100 to 95 after a customer purchased 5 units.</t>
  </si>
  <si>
    <t>100 - 5 = 95; stock deduction matched purchased quantity.</t>
  </si>
  <si>
    <t>DOVA CHAIN – PAYMENT MODULE TEST EXECUTION RESULTS</t>
  </si>
  <si>
    <t>Mock Flow (No Secret Key)</t>
  </si>
  <si>
    <t>Checkout → Pay → redirect to /checkout/verify; complete the mock payment flow.</t>
  </si>
  <si>
    <t>Order is marked as paid after successful mock payment verification.</t>
  </si>
  <si>
    <t>Payment flow completed and the system displayed payment successful / treated the order as paid.</t>
  </si>
  <si>
    <t>Mock payment flow was exercised.</t>
  </si>
  <si>
    <t>Mock Idempotency</t>
  </si>
  <si>
    <t>Initialize payment twice for the same order.</t>
  </si>
  <si>
    <t>The same payment reference should be reused; duplicate payment initialization should not create a new reference.</t>
  </si>
  <si>
    <t>During execution, the payment/network flow required inspection and the same-reference reuse could not be conclusively verified from the available evidence.</t>
  </si>
  <si>
    <t>NOT FULLY VERIFIED</t>
  </si>
  <si>
    <t>Developer/network evidence is required to confirm idempotency/reference reuse.</t>
  </si>
  <si>
    <t>Paystack Test Payment</t>
  </si>
  <si>
    <t>Checkout → Paystack test card → Paystack page → verify payment.</t>
  </si>
  <si>
    <t>Payment verifies successfully and order status becomes paid.</t>
  </si>
  <si>
    <t>Test was repeated with a new order, but the Paystack test flow still did not complete as expected.</t>
  </si>
  <si>
    <t>Paystack test payment/verification remained unsuccessful on retest.</t>
  </si>
  <si>
    <t>Not Fully Verified</t>
  </si>
  <si>
    <t>Send/receive Paystack charge.success webhook at /payments/webhook.</t>
  </si>
  <si>
    <t>Order is marked paid when the webhook signature is valid.</t>
  </si>
  <si>
    <t>Webhook-related test was executed during the payment module testing; no separate defect was identified from the recorded execution.</t>
  </si>
  <si>
    <t>Signature-level technical validation was not independently evidenced in the screenshots.</t>
  </si>
  <si>
    <t>Order History After Payment</t>
  </si>
  <si>
    <t>Complete payment, then open customer order history.</t>
  </si>
  <si>
    <t>Order appears in customer order history with Paid status.</t>
  </si>
  <si>
    <t>Order history test was executed after payment flow and no separate failure was recorded.</t>
  </si>
  <si>
    <t>Customer order history/payment-status check completed.</t>
  </si>
  <si>
    <t>DOVA – Admin Module Test Execution Report</t>
  </si>
  <si>
    <t>Execution summary: ADM-01 to ADM-05 completed; all five test cases passed.</t>
  </si>
  <si>
    <t>Severity / Notes</t>
  </si>
  <si>
    <t>Admin Dashboard</t>
  </si>
  <si>
    <t>Log in as Admin and open the Admin Dashboard. Review Users, Suppliers, Products and Orders information.</t>
  </si>
  <si>
    <t>Admin dashboard displays platform users, suppliers, products, orders and counts correctly.</t>
  </si>
  <si>
    <t>Admin login and dashboard loaded successfully. Users, suppliers, products and orders information was displayed and accessible.</t>
  </si>
  <si>
    <t>No issue observed.</t>
  </si>
  <si>
    <t>Approve Supplier</t>
  </si>
  <si>
    <t>Open Suppliers, select a pending supplier and approve the application. Verify the supplier becomes active and can add products.</t>
  </si>
  <si>
    <t>Pending supplier can be approved; supplier becomes active and can add products.</t>
  </si>
  <si>
    <t>Pending supplier approval completed successfully. Supplier became active and supplier functionality was available.</t>
  </si>
  <si>
    <t>Approval flow worked as expected.</t>
  </si>
  <si>
    <t>Reject Supplier</t>
  </si>
  <si>
    <t>Open Suppliers, select a pending supplier, click Reject, enter a rejection reason and confirm. Attempt supplier access afterward.</t>
  </si>
  <si>
    <t>Supplier is rejected/inactive and cannot access supplier functionality.</t>
  </si>
  <si>
    <t>Rejection reason box was displayed. After confirming rejection, the supplier disappeared from the pending list. When accessing the supplier area, 'Application not approved' was displayed.</t>
  </si>
  <si>
    <t>Rejection flow worked as expected.</t>
  </si>
  <si>
    <t>Manage Users and Products</t>
  </si>
  <si>
    <t>Open Users and toggle account status. Open Products and activate/deactivate a marketplace product.</t>
  </si>
  <si>
    <t>Admin can toggle user and product active/inactive status and changes are reflected correctly.</t>
  </si>
  <si>
    <t>User status changed correctly between active/inactive. Product status also changed correctly when activated/deactivated.</t>
  </si>
  <si>
    <t>Both user and product status controls worked.</t>
  </si>
  <si>
    <t>Contacts Inbox</t>
  </si>
  <si>
    <t>From the storefront open Contact Us, submit a contact message, then return to Admin &gt; Contacts.</t>
  </si>
  <si>
    <t>Submitted contact message is visible in the Admin Contacts table.</t>
  </si>
  <si>
    <t>Contact form displayed a successful submission confirmation. The submitted message appeared in Admin &gt; Contacts with name, email, message, status and date.</t>
  </si>
  <si>
    <t>Contact submission and Admin visibility confirmed.</t>
  </si>
  <si>
    <t>DOVA CHAIN – CHECKOUT &amp; MINIMUM ORDER TEST EXECUTION RESULTS</t>
  </si>
  <si>
    <t>Delivery minimum ₦5,000</t>
  </si>
  <si>
    <t>Basket ₦4,999 → select Delivery → attempt checkout.</t>
  </si>
  <si>
    <t>Blocked; 'Add ₦X more…' message.</t>
  </si>
  <si>
    <t>Delivery checkout below the required minimum was blocked during testing.</t>
  </si>
  <si>
    <t>Minimum-order validation enforced.</t>
  </si>
  <si>
    <t>Basket ≥ ₦5,000 → select Delivery → proceed.</t>
  </si>
  <si>
    <t>Checkout allowed.</t>
  </si>
  <si>
    <t>Checkout was allowed once the delivery basket met the ₦5,000 minimum.</t>
  </si>
  <si>
    <t>Delivery minimum threshold accepted.</t>
  </si>
  <si>
    <t>Pickup minimum ₦3,000</t>
  </si>
  <si>
    <t>Basket ₦2,999 → select Pickup → attempt checkout.</t>
  </si>
  <si>
    <t>Checkout blocked.</t>
  </si>
  <si>
    <t>Pickup checkout below the required minimum was blocked during testing.</t>
  </si>
  <si>
    <t>Pickup minimum-order validation enforced.</t>
  </si>
  <si>
    <t>Basket ≥ ₦3,000 → select Pickup → proceed.</t>
  </si>
  <si>
    <t>Checkout allowed; default hub address OK.</t>
  </si>
  <si>
    <t>Pickup checkout proceeded once the basket met the ₦3,000 minimum.</t>
  </si>
  <si>
    <t>Pickup threshold accepted.</t>
  </si>
  <si>
    <t>Attempt Delivery checkout with required name/phone/address missing.</t>
  </si>
  <si>
    <t>Validation error.</t>
  </si>
  <si>
    <t>Required-field validation was exercised during checkout testing.</t>
  </si>
  <si>
    <t>No unresolved required-field defect recorded.</t>
  </si>
  <si>
    <t>Attempt checkout while logged out.</t>
  </si>
  <si>
    <t>Login modal or redirect.</t>
  </si>
  <si>
    <t>Guest checkout required authentication before the checkout flow could continue.</t>
  </si>
  <si>
    <t>Authentication requirement enforced.</t>
  </si>
  <si>
    <t>Home</t>
  </si>
  <si>
    <t>Open / as a guest user and review the hero section, featured content and CTA buttons.</t>
  </si>
  <si>
    <t>Hero section, featured content and CTA are displayed.</t>
  </si>
  <si>
    <t>Home page loaded successfully as a guest. Hero section, CTA buttons, How DOVA Works and Featured Products were displayed correctly.</t>
  </si>
  <si>
    <t>Evidence captured from homepage and featured-products screenshots.</t>
  </si>
  <si>
    <t>Open About and Contact pages as a guest; submit the Contact form and verify persistence.</t>
  </si>
  <si>
    <t>Static pages render correctly and the contact submission persists.</t>
  </si>
  <si>
    <t>About Us and Contact Us rendered correctly. Contact form submitted successfully and the message later appeared in Admin Contacts.</t>
  </si>
  <si>
    <t>Contact persistence also verified during ADM-05.</t>
  </si>
  <si>
    <t>Click all footer links and verify each destination.</t>
  </si>
  <si>
    <t>All footer links navigate to the correct routes.</t>
  </si>
  <si>
    <t>All tested footer links worked and navigated to the intended pages without errors.</t>
  </si>
  <si>
    <t>User confirmed all footer links worked.</t>
  </si>
  <si>
    <t>Feedback link (guest)</t>
  </si>
  <si>
    <t>While logged out, click Feedback from the public navigation.</t>
  </si>
  <si>
    <t>Feedback opens /feedback in the same tab.</t>
  </si>
  <si>
    <t>As a guest in Incognito, clicking Feedback opened /feedback successfully in the same tab.</t>
  </si>
  <si>
    <t>Guest Feedback page screenshot captured.</t>
  </si>
  <si>
    <t>Feedback SSO (logged in)</t>
  </si>
  <si>
    <t>Log in as a customer, click Feedback, and verify the logged-in identity is carried into Feedback.</t>
  </si>
  <si>
    <t>Feedback redirects through SSO and /feedback recognizes the logged-in DOVA user.</t>
  </si>
  <si>
    <t>Feedback opened successfully while logged in and displayed 'Posting as Keresia Karuma', confirming the customer identity was recognized.</t>
  </si>
  <si>
    <t>Logged-in Feedback screenshot captured.</t>
  </si>
  <si>
    <t>External FeedLog mode</t>
  </si>
  <si>
    <t>Set NEXT_PUBLIC_FEEDLOG_INTEGRATED=false with the external FeedLog URL empty, restart the frontend, then inspect Feedback entry points.</t>
  </si>
  <si>
    <t>Feedback links are hidden.</t>
  </si>
  <si>
    <t>Not executed because the current environment remained in integrated mode and this test requires a configuration change.</t>
  </si>
  <si>
    <t>BLOCKED / NOT TESTED</t>
  </si>
  <si>
    <t>Requires frontend environment configuration change and restart before verification.</t>
  </si>
  <si>
    <t>While logged in as Customer, Supplier and Admin, use each role's Feedback entry point.</t>
  </si>
  <si>
    <t>Feedback entry points lead to /feedback for Admin, Supplier and Customer.</t>
  </si>
  <si>
    <t>Customer Feedback opened and recognized the customer. Supplier Feedback opened and displayed 'Posting as Demo Supplier'. Admin Feedback Board also opened successfully.</t>
  </si>
  <si>
    <t>All three roles verified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</si>
</sst>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
      <b/>
      <sz val="14"/>
      <color rgb="FFFFFFFF"/>
      <name val="Carlito"/>
    </font>
    <font>
      <b/>
      <sz val="16"/>
      <color rgb="FFFFFFFF"/>
      <name val="Carlito"/>
    </font>
    <font>
      <i/>
      <sz val="11"/>
      <color rgb="FF14532D"/>
      <name val="Carlito"/>
    </font>
    <font>
      <b/>
      <sz val="14"/>
      <color rgb="FFFFFFFF"/>
      <name val="Calibri"/>
    </font>
    <font>
      <b/>
      <sz val="11"/>
      <color rgb="FF166534"/>
      <name val="Calibri"/>
    </font>
  </fonts>
  <fills count="9">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
      <patternFill patternType="solid">
        <fgColor rgb="FF14532D"/>
      </patternFill>
    </fill>
    <fill>
      <patternFill patternType="solid">
        <fgColor rgb="FF166534"/>
      </patternFill>
    </fill>
    <fill>
      <patternFill patternType="solid">
        <fgColor rgb="FFDCFCE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4" fillId="0" borderId="0"/>
  </cellStyleXfs>
  <cellXfs count="27">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xf numFmtId="0" fontId="8" fillId="6" borderId="0" xfId="0" applyFont="1" applyFill="1" applyAlignment="1">
      <alignment horizontal="center" vertical="center"/>
    </xf>
    <xf numFmtId="0" fontId="5" fillId="6" borderId="0" xfId="0" applyFont="1" applyFill="1" applyAlignment="1">
      <alignment horizontal="center"/>
    </xf>
    <xf numFmtId="0" fontId="5" fillId="7" borderId="0" xfId="0" applyFont="1" applyFill="1" applyAlignment="1">
      <alignment horizontal="center" vertical="center" wrapText="1"/>
    </xf>
    <xf numFmtId="0" fontId="9" fillId="6" borderId="0" xfId="0" applyFont="1" applyFill="1" applyAlignment="1">
      <alignment horizontal="center" vertical="center"/>
    </xf>
    <xf numFmtId="0" fontId="10" fillId="8" borderId="0" xfId="0" applyFont="1" applyFill="1" applyAlignment="1">
      <alignment vertical="center"/>
    </xf>
    <xf numFmtId="0" fontId="5" fillId="7" borderId="0" xfId="0" applyFont="1" applyFill="1" applyAlignment="1">
      <alignment horizontal="center" vertical="top" wrapText="1"/>
    </xf>
    <xf numFmtId="0" fontId="11" fillId="6" borderId="0" xfId="0" applyFont="1" applyFill="1" applyAlignment="1">
      <alignment horizontal="center"/>
    </xf>
    <xf numFmtId="0" fontId="0" fillId="0" borderId="0" xfId="0"/>
    <xf numFmtId="0" fontId="6" fillId="7" borderId="0" xfId="0" applyFont="1" applyFill="1" applyAlignment="1">
      <alignment horizontal="center" vertical="center" wrapText="1"/>
    </xf>
    <xf numFmtId="0" fontId="0" fillId="0" borderId="2" xfId="0" applyBorder="1" applyAlignment="1">
      <alignment vertical="top" wrapText="1"/>
    </xf>
    <xf numFmtId="0" fontId="12" fillId="8" borderId="2" xfId="0" applyFont="1" applyFill="1" applyBorder="1" applyAlignment="1">
      <alignment vertical="top" wrapText="1"/>
    </xf>
  </cellXfs>
  <cellStyles count="2">
    <cellStyle name="Normal" xfId="0" builtinId="0"/>
    <cellStyle name="Normal 2" xfId="1" xr:uid="{C2A5A3ED-7AFB-439A-A920-CA332A0250C6}"/>
  </cellStyles>
  <dxfs count="10">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9CAC-8DC7-401A-AC98-3F01E6690A83}" name="AdminTestResultsTable" displayName="AdminTestResultsTable" ref="A3:H8" totalsRowShown="0">
  <tableColumns count="8">
    <tableColumn id="1" xr3:uid="{58869713-85B8-4F8E-88FE-DFFC1CBAE0CA}" name="Test Case ID"/>
    <tableColumn id="2" xr3:uid="{E280D62B-5E77-4724-9A95-CA85CB740F01}" name="Module"/>
    <tableColumn id="3" xr3:uid="{733B9531-1594-4892-A3DD-FE334F48FEA1}" name="Scenario"/>
    <tableColumn id="4" xr3:uid="{1A99F02B-3A21-4ABA-8505-06EEAB7A5E0A}" name="Test Steps"/>
    <tableColumn id="5" xr3:uid="{F04E60E0-D65A-4C85-A2DC-D5F241D5FE6A}" name="Expected Result"/>
    <tableColumn id="6" xr3:uid="{826F5A5F-ACBC-48F4-BA36-EBC7E2F79184}" name="Actual Result"/>
    <tableColumn id="7" xr3:uid="{44CD5D1F-24C7-41EA-AFF5-4D122C1ADC7B}" name="Status"/>
    <tableColumn id="8" xr3:uid="{F0156112-68F7-4660-B02F-048BF16079BF}" name="Severity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D4CA0-91F5-43EC-8DE8-7B28E22DE138}" name="PublicFeedLogResults" displayName="PublicFeedLogResults" ref="A1:G8" totalsRowShown="0">
  <tableColumns count="7">
    <tableColumn id="1" xr3:uid="{16B94D03-1993-454D-B6C3-D0C3F7AC28EA}" name="Test Case ID"/>
    <tableColumn id="2" xr3:uid="{FED3E03E-68F9-4E14-B152-11E9EB85057A}" name="Scenario"/>
    <tableColumn id="3" xr3:uid="{B42A2F83-CC81-4345-8654-D17564361AF0}" name="Test Steps / Scope"/>
    <tableColumn id="4" xr3:uid="{6EA5E8DB-A82E-4F1E-9EDB-6037654D7EDD}" name="Expected Result"/>
    <tableColumn id="5" xr3:uid="{4AD37C64-1D6B-41C0-9C2E-9A422AF5AF57}" name="Actual Result"/>
    <tableColumn id="6" xr3:uid="{DE784B6A-C66D-4AB7-AA13-32310180B1AE}" name="Status"/>
    <tableColumn id="7" xr3:uid="{E3286CE2-54BD-4148-A8E6-229507994064}" name="Notes / De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D21"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opLeftCell="F6"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176</v>
      </c>
      <c r="G2" t="s">
        <v>29</v>
      </c>
      <c r="I2" s="4" t="s">
        <v>177</v>
      </c>
    </row>
    <row r="3" spans="1:10" ht="58">
      <c r="A3" t="s">
        <v>75</v>
      </c>
      <c r="B3" t="s">
        <v>70</v>
      </c>
      <c r="C3" t="s">
        <v>76</v>
      </c>
      <c r="D3" s="4" t="s">
        <v>179</v>
      </c>
      <c r="E3" s="4" t="s">
        <v>178</v>
      </c>
      <c r="F3" s="4" t="s">
        <v>180</v>
      </c>
      <c r="G3" t="s">
        <v>29</v>
      </c>
      <c r="I3" t="s">
        <v>177</v>
      </c>
    </row>
    <row r="4" spans="1:10" ht="87">
      <c r="A4" t="s">
        <v>77</v>
      </c>
      <c r="B4" t="s">
        <v>70</v>
      </c>
      <c r="C4" t="s">
        <v>78</v>
      </c>
      <c r="D4" s="4" t="s">
        <v>79</v>
      </c>
      <c r="E4" s="4" t="s">
        <v>80</v>
      </c>
      <c r="F4" s="4" t="s">
        <v>181</v>
      </c>
      <c r="G4" t="s">
        <v>29</v>
      </c>
      <c r="I4" s="4" t="s">
        <v>177</v>
      </c>
    </row>
    <row r="5" spans="1:10" ht="72.5">
      <c r="A5" t="s">
        <v>81</v>
      </c>
      <c r="B5" t="s">
        <v>70</v>
      </c>
      <c r="C5" t="s">
        <v>82</v>
      </c>
      <c r="D5" s="4" t="s">
        <v>83</v>
      </c>
      <c r="E5" s="4" t="s">
        <v>84</v>
      </c>
      <c r="F5" s="4" t="s">
        <v>182</v>
      </c>
      <c r="G5" t="s">
        <v>29</v>
      </c>
      <c r="I5" s="4" t="s">
        <v>177</v>
      </c>
    </row>
    <row r="6" spans="1:10" ht="58">
      <c r="A6" t="s">
        <v>85</v>
      </c>
      <c r="B6" t="s">
        <v>70</v>
      </c>
      <c r="C6" t="s">
        <v>86</v>
      </c>
      <c r="D6" s="4" t="s">
        <v>87</v>
      </c>
      <c r="E6" s="4" t="s">
        <v>88</v>
      </c>
      <c r="F6" s="4" t="s">
        <v>183</v>
      </c>
      <c r="G6" t="s">
        <v>29</v>
      </c>
      <c r="I6" s="4" t="s">
        <v>177</v>
      </c>
    </row>
    <row r="7" spans="1:10" ht="87">
      <c r="A7" t="s">
        <v>89</v>
      </c>
      <c r="B7" t="s">
        <v>70</v>
      </c>
      <c r="C7" t="s">
        <v>90</v>
      </c>
      <c r="D7" s="4" t="s">
        <v>91</v>
      </c>
      <c r="E7" s="4" t="s">
        <v>92</v>
      </c>
      <c r="F7" s="4" t="s">
        <v>184</v>
      </c>
      <c r="G7" t="s">
        <v>29</v>
      </c>
      <c r="I7" s="4" t="s">
        <v>177</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185</v>
      </c>
      <c r="G2" t="s">
        <v>29</v>
      </c>
      <c r="I2" s="4" t="s">
        <v>177</v>
      </c>
    </row>
    <row r="3" spans="1:10" ht="43.5">
      <c r="A3" t="s">
        <v>98</v>
      </c>
      <c r="B3" t="s">
        <v>94</v>
      </c>
      <c r="C3" t="s">
        <v>99</v>
      </c>
      <c r="D3" s="4" t="s">
        <v>100</v>
      </c>
      <c r="E3" s="4" t="s">
        <v>101</v>
      </c>
      <c r="F3" s="4" t="s">
        <v>186</v>
      </c>
      <c r="G3" t="s">
        <v>187</v>
      </c>
      <c r="H3" s="4" t="s">
        <v>219</v>
      </c>
      <c r="I3" s="4" t="s">
        <v>188</v>
      </c>
    </row>
    <row r="4" spans="1:10" ht="101.5">
      <c r="A4" t="s">
        <v>102</v>
      </c>
      <c r="B4" t="s">
        <v>94</v>
      </c>
      <c r="C4" t="s">
        <v>103</v>
      </c>
      <c r="D4" s="4" t="s">
        <v>104</v>
      </c>
      <c r="E4" s="4" t="s">
        <v>105</v>
      </c>
      <c r="F4" s="9" t="s">
        <v>206</v>
      </c>
      <c r="G4" t="s">
        <v>29</v>
      </c>
      <c r="I4" t="s">
        <v>177</v>
      </c>
    </row>
    <row r="5" spans="1:10" ht="87">
      <c r="A5" t="s">
        <v>106</v>
      </c>
      <c r="B5" t="s">
        <v>94</v>
      </c>
      <c r="C5" t="s">
        <v>107</v>
      </c>
      <c r="D5" s="4" t="s">
        <v>108</v>
      </c>
      <c r="E5" s="4" t="s">
        <v>109</v>
      </c>
      <c r="F5" s="4" t="s">
        <v>207</v>
      </c>
      <c r="G5" t="s">
        <v>29</v>
      </c>
      <c r="I5" t="s">
        <v>177</v>
      </c>
    </row>
    <row r="6" spans="1:10" ht="116">
      <c r="A6" t="s">
        <v>110</v>
      </c>
      <c r="B6" t="s">
        <v>94</v>
      </c>
      <c r="C6" t="s">
        <v>111</v>
      </c>
      <c r="D6" s="4" t="s">
        <v>112</v>
      </c>
      <c r="E6" s="4" t="s">
        <v>113</v>
      </c>
      <c r="F6" s="4" t="s">
        <v>208</v>
      </c>
      <c r="G6" t="s">
        <v>187</v>
      </c>
      <c r="H6" s="4" t="s">
        <v>219</v>
      </c>
      <c r="I6" s="4" t="s">
        <v>209</v>
      </c>
    </row>
    <row r="7" spans="1:10" ht="87">
      <c r="A7" t="s">
        <v>114</v>
      </c>
      <c r="B7" t="s">
        <v>94</v>
      </c>
      <c r="C7" t="s">
        <v>115</v>
      </c>
      <c r="D7" s="4" t="s">
        <v>116</v>
      </c>
      <c r="E7" t="s">
        <v>117</v>
      </c>
      <c r="F7" s="4" t="s">
        <v>218</v>
      </c>
      <c r="G7" t="s">
        <v>29</v>
      </c>
      <c r="I7" s="4" t="s">
        <v>177</v>
      </c>
    </row>
    <row r="9" spans="1:10" ht="17.5">
      <c r="D9" s="11" t="s">
        <v>220</v>
      </c>
    </row>
    <row r="10" spans="1:10">
      <c r="D10" s="12"/>
    </row>
    <row r="11" spans="1:10">
      <c r="D11" s="13" t="s">
        <v>221</v>
      </c>
    </row>
    <row r="12" spans="1:10">
      <c r="D12" s="13" t="s">
        <v>222</v>
      </c>
    </row>
    <row r="13" spans="1:10">
      <c r="D13" s="13" t="s">
        <v>223</v>
      </c>
    </row>
    <row r="14" spans="1:10">
      <c r="D14" s="13" t="s">
        <v>224</v>
      </c>
    </row>
    <row r="15" spans="1:10">
      <c r="D15" s="13" t="s">
        <v>225</v>
      </c>
    </row>
    <row r="16" spans="1:10">
      <c r="D16" s="12"/>
    </row>
    <row r="17" spans="4:4">
      <c r="D17" s="13" t="s">
        <v>226</v>
      </c>
    </row>
    <row r="18" spans="4:4">
      <c r="D18" s="12"/>
    </row>
    <row r="19" spans="4:4">
      <c r="D19" s="13" t="s">
        <v>227</v>
      </c>
    </row>
    <row r="20" spans="4:4">
      <c r="D20" s="14"/>
    </row>
    <row r="21" spans="4:4" ht="188.5">
      <c r="D21" s="15"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0" t="s">
        <v>67</v>
      </c>
      <c r="B1" s="10" t="s">
        <v>2</v>
      </c>
      <c r="C1" s="10" t="s">
        <v>64</v>
      </c>
      <c r="D1" s="10" t="s">
        <v>189</v>
      </c>
      <c r="E1" s="10" t="s">
        <v>190</v>
      </c>
      <c r="F1" s="10" t="s">
        <v>191</v>
      </c>
      <c r="G1" s="10" t="s">
        <v>22</v>
      </c>
      <c r="H1" s="10" t="s">
        <v>23</v>
      </c>
      <c r="I1" s="10" t="s">
        <v>192</v>
      </c>
      <c r="J1" s="10" t="s">
        <v>193</v>
      </c>
      <c r="K1" s="10" t="s">
        <v>24</v>
      </c>
      <c r="L1" s="10" t="s">
        <v>194</v>
      </c>
      <c r="M1" s="10" t="s">
        <v>4</v>
      </c>
      <c r="N1" s="10" t="s">
        <v>68</v>
      </c>
    </row>
    <row r="2" spans="1:14" ht="87">
      <c r="A2" s="8" t="s">
        <v>205</v>
      </c>
      <c r="B2" s="8" t="s">
        <v>94</v>
      </c>
      <c r="C2" s="8" t="s">
        <v>98</v>
      </c>
      <c r="D2" s="8" t="s">
        <v>195</v>
      </c>
      <c r="E2" s="8" t="s">
        <v>196</v>
      </c>
      <c r="F2" s="8" t="s">
        <v>197</v>
      </c>
      <c r="G2" s="8" t="s">
        <v>198</v>
      </c>
      <c r="H2" s="8" t="s">
        <v>199</v>
      </c>
      <c r="I2" s="8" t="s">
        <v>200</v>
      </c>
      <c r="J2" s="8" t="s">
        <v>200</v>
      </c>
      <c r="K2" s="8" t="s">
        <v>201</v>
      </c>
      <c r="L2" s="8" t="s">
        <v>202</v>
      </c>
      <c r="M2" s="8" t="s">
        <v>203</v>
      </c>
      <c r="N2" s="8" t="s">
        <v>204</v>
      </c>
    </row>
    <row r="3" spans="1:14" ht="130.5">
      <c r="A3" s="8" t="s">
        <v>216</v>
      </c>
      <c r="B3" s="8" t="s">
        <v>94</v>
      </c>
      <c r="C3" s="8" t="s">
        <v>110</v>
      </c>
      <c r="D3" s="8" t="s">
        <v>210</v>
      </c>
      <c r="E3" s="8" t="s">
        <v>211</v>
      </c>
      <c r="F3" s="8" t="s">
        <v>212</v>
      </c>
      <c r="G3" s="8" t="s">
        <v>213</v>
      </c>
      <c r="H3" s="8" t="s">
        <v>214</v>
      </c>
      <c r="I3" s="8" t="s">
        <v>200</v>
      </c>
      <c r="J3" s="8" t="s">
        <v>200</v>
      </c>
      <c r="K3" s="8" t="s">
        <v>217</v>
      </c>
      <c r="M3" s="8" t="s">
        <v>203</v>
      </c>
      <c r="N3" s="8"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G8"/>
  <sheetViews>
    <sheetView topLeftCell="D1" workbookViewId="0">
      <selection activeCell="D9" sqref="D9"/>
    </sheetView>
  </sheetViews>
  <sheetFormatPr defaultRowHeight="14.5"/>
  <cols>
    <col min="1" max="1" width="14" customWidth="1"/>
    <col min="2" max="2" width="27" customWidth="1"/>
    <col min="3" max="4" width="43" customWidth="1"/>
    <col min="5" max="5" width="50" customWidth="1"/>
    <col min="6" max="6" width="13" customWidth="1"/>
    <col min="7" max="7" width="38" customWidth="1"/>
  </cols>
  <sheetData>
    <row r="1" spans="1:7" ht="18.5">
      <c r="A1" s="22" t="s">
        <v>319</v>
      </c>
      <c r="B1" s="23"/>
      <c r="C1" s="23"/>
      <c r="D1" s="23"/>
      <c r="E1" s="23"/>
      <c r="F1" s="23"/>
      <c r="G1" s="23"/>
    </row>
    <row r="2" spans="1:7">
      <c r="A2" s="24" t="s">
        <v>64</v>
      </c>
      <c r="B2" s="24" t="s">
        <v>21</v>
      </c>
      <c r="C2" s="24" t="s">
        <v>231</v>
      </c>
      <c r="D2" s="24" t="s">
        <v>22</v>
      </c>
      <c r="E2" s="24" t="s">
        <v>23</v>
      </c>
      <c r="F2" s="24" t="s">
        <v>24</v>
      </c>
      <c r="G2" s="24" t="s">
        <v>232</v>
      </c>
    </row>
    <row r="3" spans="1:7" ht="29">
      <c r="A3" s="25" t="s">
        <v>118</v>
      </c>
      <c r="B3" s="25" t="s">
        <v>320</v>
      </c>
      <c r="C3" s="25" t="s">
        <v>321</v>
      </c>
      <c r="D3" s="25" t="s">
        <v>322</v>
      </c>
      <c r="E3" s="25" t="s">
        <v>323</v>
      </c>
      <c r="F3" s="26" t="s">
        <v>29</v>
      </c>
      <c r="G3" s="25" t="s">
        <v>324</v>
      </c>
    </row>
    <row r="4" spans="1:7" ht="29">
      <c r="A4" s="25" t="s">
        <v>119</v>
      </c>
      <c r="B4" s="25" t="s">
        <v>120</v>
      </c>
      <c r="C4" s="25" t="s">
        <v>325</v>
      </c>
      <c r="D4" s="25" t="s">
        <v>326</v>
      </c>
      <c r="E4" s="25" t="s">
        <v>327</v>
      </c>
      <c r="F4" s="26" t="s">
        <v>29</v>
      </c>
      <c r="G4" s="25" t="s">
        <v>328</v>
      </c>
    </row>
    <row r="5" spans="1:7" ht="29">
      <c r="A5" s="25" t="s">
        <v>121</v>
      </c>
      <c r="B5" s="25" t="s">
        <v>329</v>
      </c>
      <c r="C5" s="25" t="s">
        <v>330</v>
      </c>
      <c r="D5" s="25" t="s">
        <v>331</v>
      </c>
      <c r="E5" s="25" t="s">
        <v>332</v>
      </c>
      <c r="F5" s="26" t="s">
        <v>29</v>
      </c>
      <c r="G5" s="25" t="s">
        <v>333</v>
      </c>
    </row>
    <row r="6" spans="1:7" ht="29">
      <c r="A6" s="25" t="s">
        <v>122</v>
      </c>
      <c r="B6" s="25" t="s">
        <v>123</v>
      </c>
      <c r="C6" s="25" t="s">
        <v>334</v>
      </c>
      <c r="D6" s="25" t="s">
        <v>335</v>
      </c>
      <c r="E6" s="25" t="s">
        <v>336</v>
      </c>
      <c r="F6" s="26" t="s">
        <v>29</v>
      </c>
      <c r="G6" s="25" t="s">
        <v>337</v>
      </c>
    </row>
    <row r="7" spans="1:7" ht="29">
      <c r="A7" s="25" t="s">
        <v>124</v>
      </c>
      <c r="B7" s="25" t="s">
        <v>125</v>
      </c>
      <c r="C7" s="25" t="s">
        <v>338</v>
      </c>
      <c r="D7" s="25" t="s">
        <v>339</v>
      </c>
      <c r="E7" s="25" t="s">
        <v>340</v>
      </c>
      <c r="F7" s="26" t="s">
        <v>29</v>
      </c>
      <c r="G7" s="25" t="s">
        <v>341</v>
      </c>
    </row>
    <row r="8" spans="1:7" ht="29">
      <c r="A8" s="25" t="s">
        <v>126</v>
      </c>
      <c r="B8" s="25" t="s">
        <v>127</v>
      </c>
      <c r="C8" s="25" t="s">
        <v>342</v>
      </c>
      <c r="D8" s="25" t="s">
        <v>343</v>
      </c>
      <c r="E8" s="25" t="s">
        <v>344</v>
      </c>
      <c r="F8" s="26" t="s">
        <v>29</v>
      </c>
      <c r="G8" s="25" t="s">
        <v>345</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AE1-356C-499C-B0CC-8D577F719CCF}">
  <dimension ref="A1:J7"/>
  <sheetViews>
    <sheetView topLeftCell="C1" workbookViewId="0">
      <selection activeCell="E11" sqref="E11"/>
    </sheetView>
  </sheetViews>
  <sheetFormatPr defaultRowHeight="14.5"/>
  <cols>
    <col min="1" max="1" width="15.26953125" customWidth="1"/>
    <col min="2" max="2" width="28.36328125" customWidth="1"/>
    <col min="3" max="4" width="43.6328125" customWidth="1"/>
    <col min="5" max="5" width="54.54296875" customWidth="1"/>
    <col min="6" max="6" width="19.6328125" customWidth="1"/>
    <col min="7" max="7" width="48" customWidth="1"/>
    <col min="9" max="10" width="20.7265625" customWidth="1"/>
  </cols>
  <sheetData>
    <row r="1" spans="1:10" ht="18">
      <c r="A1" s="16" t="s">
        <v>264</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COUNTA(A3:A7)</f>
        <v>5</v>
      </c>
    </row>
    <row r="3" spans="1:10" ht="29">
      <c r="A3" s="8" t="s">
        <v>128</v>
      </c>
      <c r="B3" s="8" t="s">
        <v>265</v>
      </c>
      <c r="C3" s="8" t="s">
        <v>266</v>
      </c>
      <c r="D3" s="8" t="s">
        <v>267</v>
      </c>
      <c r="E3" s="8" t="s">
        <v>268</v>
      </c>
      <c r="F3" s="8" t="s">
        <v>29</v>
      </c>
      <c r="G3" s="8" t="s">
        <v>269</v>
      </c>
      <c r="I3" t="s">
        <v>14</v>
      </c>
      <c r="J3">
        <f>COUNTIF(F3:F7,"PASS")</f>
        <v>3</v>
      </c>
    </row>
    <row r="4" spans="1:10" ht="43.5">
      <c r="A4" s="8" t="s">
        <v>129</v>
      </c>
      <c r="B4" s="8" t="s">
        <v>270</v>
      </c>
      <c r="C4" s="8" t="s">
        <v>271</v>
      </c>
      <c r="D4" s="8" t="s">
        <v>272</v>
      </c>
      <c r="E4" s="8" t="s">
        <v>273</v>
      </c>
      <c r="F4" s="8" t="s">
        <v>274</v>
      </c>
      <c r="G4" s="8" t="s">
        <v>275</v>
      </c>
      <c r="I4" t="s">
        <v>15</v>
      </c>
      <c r="J4">
        <f>COUNTIF(F3:F7,"FAIL")</f>
        <v>1</v>
      </c>
    </row>
    <row r="5" spans="1:10" ht="29">
      <c r="A5" s="8" t="s">
        <v>130</v>
      </c>
      <c r="B5" s="8" t="s">
        <v>276</v>
      </c>
      <c r="C5" s="8" t="s">
        <v>277</v>
      </c>
      <c r="D5" s="8" t="s">
        <v>278</v>
      </c>
      <c r="E5" s="8" t="s">
        <v>279</v>
      </c>
      <c r="F5" s="8" t="s">
        <v>187</v>
      </c>
      <c r="G5" s="8" t="s">
        <v>280</v>
      </c>
      <c r="I5" t="s">
        <v>281</v>
      </c>
      <c r="J5">
        <f>COUNTIF(F3:F7,"NOT FULLY VERIFIED")</f>
        <v>1</v>
      </c>
    </row>
    <row r="6" spans="1:10" ht="43.5">
      <c r="A6" s="8" t="s">
        <v>131</v>
      </c>
      <c r="B6" s="8" t="s">
        <v>132</v>
      </c>
      <c r="C6" s="8" t="s">
        <v>282</v>
      </c>
      <c r="D6" s="8" t="s">
        <v>283</v>
      </c>
      <c r="E6" s="8" t="s">
        <v>284</v>
      </c>
      <c r="F6" s="8" t="s">
        <v>29</v>
      </c>
      <c r="G6" s="8" t="s">
        <v>285</v>
      </c>
    </row>
    <row r="7" spans="1:10" ht="29">
      <c r="A7" s="8" t="s">
        <v>133</v>
      </c>
      <c r="B7" s="8" t="s">
        <v>286</v>
      </c>
      <c r="C7" s="8" t="s">
        <v>287</v>
      </c>
      <c r="D7" s="8" t="s">
        <v>288</v>
      </c>
      <c r="E7" s="8" t="s">
        <v>289</v>
      </c>
      <c r="F7" s="8" t="s">
        <v>29</v>
      </c>
      <c r="G7" s="8" t="s">
        <v>290</v>
      </c>
    </row>
  </sheetData>
  <mergeCells count="1">
    <mergeCell ref="A1:G1"/>
  </mergeCells>
  <conditionalFormatting sqref="F3:F7">
    <cfRule type="expression" dxfId="9" priority="1">
      <formula>F3="PASS"</formula>
    </cfRule>
    <cfRule type="expression" dxfId="8" priority="2">
      <formula>F3="FAIL"</formula>
    </cfRule>
    <cfRule type="expression" dxfId="7" priority="3">
      <formula>F3="NOT FULLY VERIFIED"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9B9-902C-466E-8808-FD672DC1E8B7}">
  <dimension ref="A1:J9"/>
  <sheetViews>
    <sheetView topLeftCell="F1" workbookViewId="0">
      <selection activeCell="G7" sqref="G7"/>
    </sheetView>
  </sheetViews>
  <sheetFormatPr defaultRowHeight="14.5"/>
  <cols>
    <col min="1" max="1" width="15.26953125" customWidth="1"/>
    <col min="2" max="2" width="26.1796875" customWidth="1"/>
    <col min="3" max="4" width="41.453125" customWidth="1"/>
    <col min="5" max="5" width="52.36328125" customWidth="1"/>
    <col min="6" max="6" width="13.08984375" customWidth="1"/>
    <col min="7" max="7" width="45.81640625" customWidth="1"/>
    <col min="9" max="10" width="17.453125" customWidth="1"/>
  </cols>
  <sheetData>
    <row r="1" spans="1:10" ht="18">
      <c r="A1" s="16" t="s">
        <v>229</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COUNTA(A3:A9)</f>
        <v>7</v>
      </c>
    </row>
    <row r="3" spans="1:10" ht="29">
      <c r="A3" s="8" t="s">
        <v>134</v>
      </c>
      <c r="B3" s="8" t="s">
        <v>234</v>
      </c>
      <c r="C3" s="8" t="s">
        <v>235</v>
      </c>
      <c r="D3" s="8" t="s">
        <v>236</v>
      </c>
      <c r="E3" s="8" t="s">
        <v>237</v>
      </c>
      <c r="F3" s="8" t="s">
        <v>29</v>
      </c>
      <c r="G3" s="8"/>
      <c r="I3" t="s">
        <v>14</v>
      </c>
      <c r="J3">
        <f>COUNTIF(F3:F9,"PASS")</f>
        <v>6</v>
      </c>
    </row>
    <row r="4" spans="1:10" ht="43.5">
      <c r="A4" s="8" t="s">
        <v>135</v>
      </c>
      <c r="B4" s="8" t="s">
        <v>238</v>
      </c>
      <c r="C4" s="8" t="s">
        <v>239</v>
      </c>
      <c r="D4" s="8" t="s">
        <v>240</v>
      </c>
      <c r="E4" s="8" t="s">
        <v>241</v>
      </c>
      <c r="F4" s="8" t="s">
        <v>29</v>
      </c>
      <c r="G4" s="8"/>
      <c r="I4" t="s">
        <v>15</v>
      </c>
      <c r="J4">
        <f>COUNTIF(F3:F9,"FAIL")</f>
        <v>1</v>
      </c>
    </row>
    <row r="5" spans="1:10" ht="58">
      <c r="A5" s="8" t="s">
        <v>136</v>
      </c>
      <c r="B5" s="8" t="s">
        <v>137</v>
      </c>
      <c r="C5" s="8" t="s">
        <v>242</v>
      </c>
      <c r="D5" s="8" t="s">
        <v>243</v>
      </c>
      <c r="E5" s="8" t="s">
        <v>244</v>
      </c>
      <c r="F5" s="8" t="s">
        <v>187</v>
      </c>
      <c r="G5" s="8" t="s">
        <v>245</v>
      </c>
    </row>
    <row r="6" spans="1:10" ht="29">
      <c r="A6" s="8" t="s">
        <v>138</v>
      </c>
      <c r="B6" s="8" t="s">
        <v>246</v>
      </c>
      <c r="C6" s="8" t="s">
        <v>247</v>
      </c>
      <c r="D6" s="8" t="s">
        <v>248</v>
      </c>
      <c r="E6" s="8" t="s">
        <v>249</v>
      </c>
      <c r="F6" s="8" t="s">
        <v>29</v>
      </c>
      <c r="G6" s="8"/>
    </row>
    <row r="7" spans="1:10" ht="29">
      <c r="A7" s="8" t="s">
        <v>139</v>
      </c>
      <c r="B7" s="8" t="s">
        <v>250</v>
      </c>
      <c r="C7" s="8" t="s">
        <v>251</v>
      </c>
      <c r="D7" s="8" t="s">
        <v>252</v>
      </c>
      <c r="E7" s="8" t="s">
        <v>253</v>
      </c>
      <c r="F7" s="8" t="s">
        <v>29</v>
      </c>
      <c r="G7" s="8" t="s">
        <v>254</v>
      </c>
    </row>
    <row r="8" spans="1:10" ht="43.5">
      <c r="A8" s="8" t="s">
        <v>140</v>
      </c>
      <c r="B8" s="8" t="s">
        <v>255</v>
      </c>
      <c r="C8" s="8" t="s">
        <v>256</v>
      </c>
      <c r="D8" s="8" t="s">
        <v>257</v>
      </c>
      <c r="E8" s="8" t="s">
        <v>258</v>
      </c>
      <c r="F8" s="8" t="s">
        <v>29</v>
      </c>
      <c r="G8" s="8"/>
    </row>
    <row r="9" spans="1:10" ht="29">
      <c r="A9" s="8" t="s">
        <v>141</v>
      </c>
      <c r="B9" s="8" t="s">
        <v>259</v>
      </c>
      <c r="C9" s="8" t="s">
        <v>260</v>
      </c>
      <c r="D9" s="8" t="s">
        <v>261</v>
      </c>
      <c r="E9" s="8" t="s">
        <v>262</v>
      </c>
      <c r="F9" s="8" t="s">
        <v>29</v>
      </c>
      <c r="G9" s="8" t="s">
        <v>263</v>
      </c>
    </row>
  </sheetData>
  <mergeCells count="1">
    <mergeCell ref="A1:G1"/>
  </mergeCells>
  <conditionalFormatting sqref="F3:F9">
    <cfRule type="expression" dxfId="6" priority="1">
      <formula>F3="PASS"</formula>
    </cfRule>
    <cfRule type="expression" dxfId="5" priority="2">
      <formula>F3="FAIL"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H8"/>
  <sheetViews>
    <sheetView tabSelected="1" topLeftCell="D1" workbookViewId="0">
      <selection activeCell="E14" sqref="E14"/>
    </sheetView>
  </sheetViews>
  <sheetFormatPr defaultRowHeight="14.5"/>
  <cols>
    <col min="1" max="1" width="14.1796875" customWidth="1"/>
    <col min="2" max="2" width="13.08984375" customWidth="1"/>
    <col min="3" max="3" width="25.08984375" customWidth="1"/>
    <col min="4" max="5" width="41.453125" customWidth="1"/>
    <col min="6" max="6" width="49.08984375" customWidth="1"/>
    <col min="7" max="7" width="13.08984375" customWidth="1"/>
    <col min="8" max="8" width="30.54296875" customWidth="1"/>
  </cols>
  <sheetData>
    <row r="1" spans="1:8" ht="20">
      <c r="A1" s="19" t="s">
        <v>291</v>
      </c>
      <c r="B1" s="19"/>
      <c r="C1" s="19"/>
      <c r="D1" s="19"/>
      <c r="E1" s="19"/>
      <c r="F1" s="19"/>
      <c r="G1" s="19"/>
      <c r="H1" s="19"/>
    </row>
    <row r="2" spans="1:8">
      <c r="A2" s="20" t="s">
        <v>292</v>
      </c>
      <c r="B2" s="20"/>
      <c r="C2" s="20"/>
      <c r="D2" s="20"/>
      <c r="E2" s="20"/>
      <c r="F2" s="20"/>
      <c r="G2" s="20"/>
      <c r="H2" s="20"/>
    </row>
    <row r="3" spans="1:8">
      <c r="A3" s="21" t="s">
        <v>64</v>
      </c>
      <c r="B3" s="21" t="s">
        <v>2</v>
      </c>
      <c r="C3" s="21" t="s">
        <v>21</v>
      </c>
      <c r="D3" s="21" t="s">
        <v>65</v>
      </c>
      <c r="E3" s="21" t="s">
        <v>22</v>
      </c>
      <c r="F3" s="21" t="s">
        <v>23</v>
      </c>
      <c r="G3" s="21" t="s">
        <v>24</v>
      </c>
      <c r="H3" s="21" t="s">
        <v>293</v>
      </c>
    </row>
    <row r="4" spans="1:8" ht="43.5">
      <c r="A4" s="8" t="s">
        <v>142</v>
      </c>
      <c r="B4" s="8" t="s">
        <v>143</v>
      </c>
      <c r="C4" s="8" t="s">
        <v>294</v>
      </c>
      <c r="D4" s="8" t="s">
        <v>295</v>
      </c>
      <c r="E4" s="8" t="s">
        <v>296</v>
      </c>
      <c r="F4" s="8" t="s">
        <v>297</v>
      </c>
      <c r="G4" s="8" t="s">
        <v>29</v>
      </c>
      <c r="H4" s="8" t="s">
        <v>298</v>
      </c>
    </row>
    <row r="5" spans="1:8" ht="43.5">
      <c r="A5" s="8" t="s">
        <v>144</v>
      </c>
      <c r="B5" s="8" t="s">
        <v>143</v>
      </c>
      <c r="C5" s="8" t="s">
        <v>299</v>
      </c>
      <c r="D5" s="8" t="s">
        <v>300</v>
      </c>
      <c r="E5" s="8" t="s">
        <v>301</v>
      </c>
      <c r="F5" s="8" t="s">
        <v>302</v>
      </c>
      <c r="G5" s="8" t="s">
        <v>29</v>
      </c>
      <c r="H5" s="8" t="s">
        <v>303</v>
      </c>
    </row>
    <row r="6" spans="1:8" ht="58">
      <c r="A6" s="8" t="s">
        <v>145</v>
      </c>
      <c r="B6" s="8" t="s">
        <v>143</v>
      </c>
      <c r="C6" s="8" t="s">
        <v>304</v>
      </c>
      <c r="D6" s="8" t="s">
        <v>305</v>
      </c>
      <c r="E6" s="8" t="s">
        <v>306</v>
      </c>
      <c r="F6" s="8" t="s">
        <v>307</v>
      </c>
      <c r="G6" s="8" t="s">
        <v>29</v>
      </c>
      <c r="H6" s="8" t="s">
        <v>308</v>
      </c>
    </row>
    <row r="7" spans="1:8" ht="43.5">
      <c r="A7" s="8" t="s">
        <v>146</v>
      </c>
      <c r="B7" s="8" t="s">
        <v>143</v>
      </c>
      <c r="C7" s="8" t="s">
        <v>309</v>
      </c>
      <c r="D7" s="8" t="s">
        <v>310</v>
      </c>
      <c r="E7" s="8" t="s">
        <v>311</v>
      </c>
      <c r="F7" s="8" t="s">
        <v>312</v>
      </c>
      <c r="G7" s="8" t="s">
        <v>29</v>
      </c>
      <c r="H7" s="8" t="s">
        <v>313</v>
      </c>
    </row>
    <row r="8" spans="1:8" ht="58">
      <c r="A8" s="8" t="s">
        <v>147</v>
      </c>
      <c r="B8" s="8" t="s">
        <v>143</v>
      </c>
      <c r="C8" s="8" t="s">
        <v>314</v>
      </c>
      <c r="D8" s="8" t="s">
        <v>315</v>
      </c>
      <c r="E8" s="8" t="s">
        <v>316</v>
      </c>
      <c r="F8" s="8" t="s">
        <v>317</v>
      </c>
      <c r="G8" s="8" t="s">
        <v>29</v>
      </c>
      <c r="H8" s="8" t="s">
        <v>318</v>
      </c>
    </row>
  </sheetData>
  <mergeCells count="2">
    <mergeCell ref="A1:H1"/>
    <mergeCell ref="A2:H2"/>
  </mergeCells>
  <conditionalFormatting sqref="G4:G8">
    <cfRule type="expression" dxfId="4" priority="1">
      <formula>G4="PASS"</formula>
    </cfRule>
    <cfRule type="expression" dxfId="3" priority="2">
      <formula>G4="FAIL"</formula>
    </cfRule>
  </conditionalFormatting>
  <dataValidations count="1">
    <dataValidation type="list" sqref="G4:G8" xr:uid="{C8197CE7-BBAE-4250-A20B-B292FBFE4E00}">
      <formula1>"PASS,FAIL,BLOCKED,NOT RUN"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G8"/>
  <sheetViews>
    <sheetView topLeftCell="E1" workbookViewId="0">
      <selection activeCell="G10" sqref="G10"/>
    </sheetView>
  </sheetViews>
  <sheetFormatPr defaultRowHeight="14.5"/>
  <cols>
    <col min="1" max="1" width="15.26953125" customWidth="1"/>
    <col min="2" max="2" width="27.26953125" customWidth="1"/>
    <col min="3" max="3" width="48" customWidth="1"/>
    <col min="4" max="4" width="45.81640625" customWidth="1"/>
    <col min="5" max="5" width="63.26953125" customWidth="1"/>
    <col min="6" max="6" width="21.81640625" customWidth="1"/>
    <col min="7" max="7" width="45.81640625" customWidth="1"/>
  </cols>
  <sheetData>
    <row r="1" spans="1:7">
      <c r="A1" s="21" t="s">
        <v>64</v>
      </c>
      <c r="B1" s="21" t="s">
        <v>21</v>
      </c>
      <c r="C1" s="21" t="s">
        <v>231</v>
      </c>
      <c r="D1" s="21" t="s">
        <v>22</v>
      </c>
      <c r="E1" s="21" t="s">
        <v>23</v>
      </c>
      <c r="F1" s="21" t="s">
        <v>24</v>
      </c>
      <c r="G1" s="21" t="s">
        <v>232</v>
      </c>
    </row>
    <row r="2" spans="1:7" ht="29">
      <c r="A2" s="8" t="s">
        <v>148</v>
      </c>
      <c r="B2" s="8" t="s">
        <v>346</v>
      </c>
      <c r="C2" s="8" t="s">
        <v>347</v>
      </c>
      <c r="D2" s="8" t="s">
        <v>348</v>
      </c>
      <c r="E2" s="8" t="s">
        <v>349</v>
      </c>
      <c r="F2" s="8" t="s">
        <v>29</v>
      </c>
      <c r="G2" s="8" t="s">
        <v>350</v>
      </c>
    </row>
    <row r="3" spans="1:7" ht="29">
      <c r="A3" s="8" t="s">
        <v>149</v>
      </c>
      <c r="B3" s="8" t="s">
        <v>150</v>
      </c>
      <c r="C3" s="8" t="s">
        <v>351</v>
      </c>
      <c r="D3" s="8" t="s">
        <v>352</v>
      </c>
      <c r="E3" s="8" t="s">
        <v>353</v>
      </c>
      <c r="F3" s="8" t="s">
        <v>29</v>
      </c>
      <c r="G3" s="8" t="s">
        <v>354</v>
      </c>
    </row>
    <row r="4" spans="1:7" ht="29">
      <c r="A4" s="8" t="s">
        <v>151</v>
      </c>
      <c r="B4" s="8" t="s">
        <v>152</v>
      </c>
      <c r="C4" s="8" t="s">
        <v>355</v>
      </c>
      <c r="D4" s="8" t="s">
        <v>356</v>
      </c>
      <c r="E4" s="8" t="s">
        <v>357</v>
      </c>
      <c r="F4" s="8" t="s">
        <v>29</v>
      </c>
      <c r="G4" s="8" t="s">
        <v>358</v>
      </c>
    </row>
    <row r="5" spans="1:7" ht="29">
      <c r="A5" s="8" t="s">
        <v>153</v>
      </c>
      <c r="B5" s="8" t="s">
        <v>359</v>
      </c>
      <c r="C5" s="8" t="s">
        <v>360</v>
      </c>
      <c r="D5" s="8" t="s">
        <v>361</v>
      </c>
      <c r="E5" s="8" t="s">
        <v>362</v>
      </c>
      <c r="F5" s="8" t="s">
        <v>29</v>
      </c>
      <c r="G5" s="8" t="s">
        <v>363</v>
      </c>
    </row>
    <row r="6" spans="1:7" ht="29">
      <c r="A6" s="8" t="s">
        <v>154</v>
      </c>
      <c r="B6" s="8" t="s">
        <v>364</v>
      </c>
      <c r="C6" s="8" t="s">
        <v>365</v>
      </c>
      <c r="D6" s="8" t="s">
        <v>366</v>
      </c>
      <c r="E6" s="8" t="s">
        <v>367</v>
      </c>
      <c r="F6" s="8" t="s">
        <v>29</v>
      </c>
      <c r="G6" s="8" t="s">
        <v>368</v>
      </c>
    </row>
    <row r="7" spans="1:7" ht="43.5">
      <c r="A7" s="8" t="s">
        <v>156</v>
      </c>
      <c r="B7" s="8" t="s">
        <v>369</v>
      </c>
      <c r="C7" s="8" t="s">
        <v>370</v>
      </c>
      <c r="D7" s="8" t="s">
        <v>371</v>
      </c>
      <c r="E7" s="8" t="s">
        <v>372</v>
      </c>
      <c r="F7" s="8" t="s">
        <v>373</v>
      </c>
      <c r="G7" s="8" t="s">
        <v>374</v>
      </c>
    </row>
    <row r="8" spans="1:7" ht="43.5">
      <c r="A8" s="8" t="s">
        <v>157</v>
      </c>
      <c r="B8" s="8" t="s">
        <v>158</v>
      </c>
      <c r="C8" s="8" t="s">
        <v>375</v>
      </c>
      <c r="D8" s="8" t="s">
        <v>376</v>
      </c>
      <c r="E8" s="8" t="s">
        <v>377</v>
      </c>
      <c r="F8" s="8" t="s">
        <v>29</v>
      </c>
      <c r="G8" s="8" t="s">
        <v>378</v>
      </c>
    </row>
  </sheetData>
  <conditionalFormatting sqref="F2:F8">
    <cfRule type="expression" dxfId="2" priority="1">
      <formula>F2="PASS"</formula>
    </cfRule>
    <cfRule type="expression" dxfId="1" priority="2">
      <formula>F2="FAIL"</formula>
    </cfRule>
    <cfRule type="expression" dxfId="0" priority="3">
      <formula>F2="BLOCKED / NOT TESTED"</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7" t="s">
        <v>64</v>
      </c>
      <c r="B1" s="7" t="s">
        <v>2</v>
      </c>
      <c r="C1" s="7" t="s">
        <v>21</v>
      </c>
      <c r="D1" s="7" t="s">
        <v>65</v>
      </c>
      <c r="E1" s="7" t="s">
        <v>22</v>
      </c>
      <c r="F1" s="7" t="s">
        <v>23</v>
      </c>
      <c r="G1" s="7" t="s">
        <v>24</v>
      </c>
      <c r="H1" s="7" t="s">
        <v>66</v>
      </c>
      <c r="I1" s="7" t="s">
        <v>67</v>
      </c>
      <c r="J1" s="7" t="s">
        <v>68</v>
      </c>
    </row>
    <row r="2" spans="1:10" ht="130.5">
      <c r="A2" s="8" t="s">
        <v>159</v>
      </c>
      <c r="B2" s="8" t="s">
        <v>160</v>
      </c>
      <c r="C2" s="8" t="s">
        <v>161</v>
      </c>
      <c r="D2" s="8" t="s">
        <v>162</v>
      </c>
      <c r="E2" s="8" t="s">
        <v>163</v>
      </c>
      <c r="F2" s="8"/>
      <c r="G2" s="8" t="s">
        <v>74</v>
      </c>
      <c r="H2" s="8"/>
      <c r="I2" s="8"/>
      <c r="J2" s="8" t="s">
        <v>155</v>
      </c>
    </row>
    <row r="3" spans="1:10" ht="130.5">
      <c r="A3" s="8" t="s">
        <v>164</v>
      </c>
      <c r="B3" s="8" t="s">
        <v>160</v>
      </c>
      <c r="C3" s="8" t="s">
        <v>165</v>
      </c>
      <c r="D3" s="8" t="s">
        <v>166</v>
      </c>
      <c r="E3" s="8" t="s">
        <v>167</v>
      </c>
      <c r="F3" s="8"/>
      <c r="G3" s="8" t="s">
        <v>74</v>
      </c>
      <c r="H3" s="8"/>
      <c r="I3" s="8"/>
      <c r="J3" s="8" t="s">
        <v>155</v>
      </c>
    </row>
    <row r="4" spans="1:10" ht="145">
      <c r="A4" s="8" t="s">
        <v>168</v>
      </c>
      <c r="B4" s="8" t="s">
        <v>160</v>
      </c>
      <c r="C4" s="8" t="s">
        <v>169</v>
      </c>
      <c r="D4" s="8" t="s">
        <v>170</v>
      </c>
      <c r="E4" s="8" t="s">
        <v>171</v>
      </c>
      <c r="F4" s="8"/>
      <c r="G4" s="8" t="s">
        <v>74</v>
      </c>
      <c r="H4" s="8"/>
      <c r="I4" s="8"/>
      <c r="J4" s="8" t="s">
        <v>155</v>
      </c>
    </row>
    <row r="5" spans="1:10" ht="116">
      <c r="A5" s="8" t="s">
        <v>172</v>
      </c>
      <c r="B5" s="8" t="s">
        <v>160</v>
      </c>
      <c r="C5" s="8" t="s">
        <v>173</v>
      </c>
      <c r="D5" s="8" t="s">
        <v>174</v>
      </c>
      <c r="E5" s="8" t="s">
        <v>175</v>
      </c>
      <c r="F5" s="8"/>
      <c r="G5" s="8" t="s">
        <v>74</v>
      </c>
      <c r="H5" s="8"/>
      <c r="I5" s="8"/>
      <c r="J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2026-08-16T21:10:55Z</dcterms:modified>
</cp:coreProperties>
</file>